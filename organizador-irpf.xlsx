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0c5b42e0d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d583acc763a4398"/>
    <x:sheet xmlns:r="http://schemas.openxmlformats.org/officeDocument/2006/relationships" name="Titular" sheetId="2" r:id="R239e206a62e54c7a"/>
    <x:sheet xmlns:r="http://schemas.openxmlformats.org/officeDocument/2006/relationships" name="Informes" sheetId="3" r:id="Rf02a56413a0e4c42"/>
    <x:sheet xmlns:r="http://schemas.openxmlformats.org/officeDocument/2006/relationships" name="Notas" sheetId="4" r:id="R9bed9282f63d4398"/>
    <x:sheet xmlns:r="http://schemas.openxmlformats.org/officeDocument/2006/relationships" name="Apoio" sheetId="5" r:id="Rae86fc3c1f8b4b04"/>
  </x:sheets>
  <x:calcPr calcMode="auto"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&quot; #,##0.00;[Red](&quot;R$&quot; #,##0.00);&quot;R$&quot; 0.00"/>
    <x:numFmt numFmtId="201" formatCode="@"/>
    <x:numFmt numFmtId="202" formatCode="dd/mm/yyyy"/>
  </x:numFmts>
  <x:fonts count="4">
    <x:font>
      <x:sz val="11"/>
      <x:name val="Carlito"/>
    </x:font>
    <x:font>
      <x:sz val="11"/>
      <x:color rgb="FF233247"/>
      <x:name val="Arial"/>
    </x:font>
    <x:font>
      <x:b/>
      <x:sz val="16"/>
      <x:color rgb="FF243653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653"/>
      </x:patternFill>
    </x:fill>
    <x:fill>
      <x:patternFill patternType="solid">
        <x:fgColor rgb="FFFFF3D6"/>
      </x:patternFill>
    </x:fill>
    <x:fill>
      <x:patternFill patternType="solid">
        <x:fgColor rgb="FFEEF2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3368AD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2F2F"/>
      </x:font>
      <x:fill>
        <x:patternFill patternType="solid">
          <x:bgColor rgb="FFFCE6E4"/>
        </x:patternFill>
      </x:fill>
    </x:dxf>
    <x:dxf>
      <x:font>
        <x:b/>
        <x:color rgb="FF9C2F2F"/>
      </x:font>
      <x:fill>
        <x:patternFill patternType="solid">
          <x:bgColor rgb="FFFCE6E4"/>
        </x:patternFill>
      </x:fill>
    </x:dxf>
    <x:dxf>
      <x:font>
        <x:b/>
        <x:color rgb="FF9C2F2F"/>
      </x:font>
      <x:fill>
        <x:patternFill patternType="solid">
          <x:bgColor rgb="FFFCE6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56c352e6f4ec0" /><Relationship Type="http://schemas.openxmlformats.org/officeDocument/2006/relationships/theme" Target="/xl/theme/theme1.xml" Id="R759363243def425f" /><Relationship Type="http://schemas.openxmlformats.org/officeDocument/2006/relationships/sharedStrings" Target="/xl/sharedStrings.xml" Id="Re8421e8422744e11" /><Relationship Type="http://schemas.openxmlformats.org/officeDocument/2006/relationships/worksheet" Target="/xl/worksheets/sheet1.xml" Id="R0d583acc763a4398" /><Relationship Type="http://schemas.openxmlformats.org/officeDocument/2006/relationships/worksheet" Target="/xl/worksheets/sheet2.xml" Id="R239e206a62e54c7a" /><Relationship Type="http://schemas.openxmlformats.org/officeDocument/2006/relationships/worksheet" Target="/xl/worksheets/sheet3.xml" Id="Rf02a56413a0e4c42" /><Relationship Type="http://schemas.openxmlformats.org/officeDocument/2006/relationships/worksheet" Target="/xl/worksheets/sheet4.xml" Id="R9bed9282f63d4398" /><Relationship Type="http://schemas.openxmlformats.org/officeDocument/2006/relationships/worksheet" Target="/xl/worksheets/sheet5.xml" Id="Rae86fc3c1f8b4b04" /></Relationships>
</file>

<file path=xl/tables/table1.xml><?xml version="1.0" encoding="utf-8"?>
<x:table xmlns:x="http://schemas.openxmlformats.org/spreadsheetml/2006/main" id="1" name="InformesBancarios" displayName="InformesBancarios" ref="A9:H209" headerRowCount="1" totalsRowCount="0" totalsRowShown="0">
  <x:tableColumns count="8">
    <x:tableColumn id="1" name="Instituição"/>
    <x:tableColumn id="2" name="Agência"/>
    <x:tableColumn id="3" name="Conta"/>
    <x:tableColumn id="4" name="Saldo ano anterior"/>
    <x:tableColumn id="5" name="Saldo ano-base"/>
    <x:tableColumn id="6" name="Arquivo ou URL"/>
    <x:tableColumn id="7" name="Recebido?"/>
    <x:tableColumn id="8" name="Conferê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eitas" displayName="Receitas" ref="A9:G209" headerRowCount="1" totalsRowCount="0" totalsRowShown="0">
  <x:tableColumns count="7">
    <x:tableColumn id="1" name="Data"/>
    <x:tableColumn id="2" name="Categoria"/>
    <x:tableColumn id="3" name="Fonte pagadora"/>
    <x:tableColumn id="4" name="Valor recebido"/>
    <x:tableColumn id="5" name="Arquivo ou URL"/>
    <x:tableColumn id="6" name="Recebido?"/>
    <x:tableColumn id="7" name="Conferê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9c43392255440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e67b221b06d4454" /></Relationships>
</file>

<file path=xl/worksheets/sheet1.xml><?xml version="1.0" encoding="utf-8"?>
<x:worksheet xmlns:x="http://schemas.openxmlformats.org/spreadsheetml/2006/main">
  <x:sheetPr>
    <x:tabColor rgb="FF243653"/>
  </x:sheetPr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0" hidden="0" customWidth="1"/>
    <x:col min="5" max="5" width="20" hidden="0" customWidth="1"/>
    <x:col min="6" max="6" width="20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4" customHeight="1">
      <x:c r="A2" s="3" t="str">
        <x:v>Organizador de Imposto de Renda</x:v>
      </x:c>
      <x:c r="B2" s="2"/>
      <x:c r="C2" s="2"/>
      <x:c r="D2" s="2"/>
      <x:c r="E2" s="2"/>
      <x:c r="F2" s="2"/>
    </x:row>
    <x:row r="3" ht="24" customHeight="1">
      <x:c r="A3" s="4"/>
      <x:c r="B3" s="4"/>
      <x:c r="C3" s="4"/>
      <x:c r="D3" s="4"/>
      <x:c r="E3" s="4"/>
      <x:c r="F3" s="4"/>
    </x:row>
    <x:row r="4" ht="28" customHeight="1">
      <x:c r="A4" s="6" t="str">
        <x:f>HYPERLINK("#'Resumo'!A1","Resumo")</x:f>
        <x:v>Resumo</x:v>
      </x:c>
      <x:c r="B4" s="6" t="str">
        <x:f>HYPERLINK("#'Titular'!A1","Titular")</x:f>
        <x:v>Titular</x:v>
      </x:c>
      <x:c r="C4" s="6" t="str">
        <x:f>HYPERLINK("#'Informes'!A1","Informes")</x:f>
        <x:v>Informes</x:v>
      </x:c>
      <x:c r="D4" s="6" t="str">
        <x:f>HYPERLINK("#'Notas'!A1","Notas")</x:f>
        <x:v>Notas</x:v>
      </x:c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24" customHeight="1">
      <x:c r="A6" s="2" t="str">
        <x:v>Ano-calendário</x:v>
      </x:c>
      <x:c r="B6" s="7" t="n">
        <x:v>2025</x:v>
      </x:c>
      <x:c r="C6" s="2"/>
      <x:c r="D6" s="2" t="str">
        <x:v>EXEMPLOS FICTÍCIOS</x:v>
      </x:c>
      <x:c r="E6" s="2"/>
      <x:c r="F6" s="2"/>
    </x:row>
    <x:row r="7" ht="24" customHeight="1">
      <x:c r="A7" s="2" t="str">
        <x:v>Exercício</x:v>
      </x:c>
      <x:c r="B7" s="2" t="n">
        <x:f>B6+1</x:f>
        <x:v>2026</x:v>
      </x:c>
      <x:c r="C7" s="2"/>
      <x:c r="D7" s="2"/>
      <x:c r="E7" s="2"/>
      <x:c r="F7" s="2"/>
    </x:row>
    <x:row r="8" ht="24" customHeight="1">
      <x:c r="A8" s="2"/>
      <x:c r="B8" s="2"/>
      <x:c r="C8" s="2"/>
      <x:c r="D8" s="2"/>
      <x:c r="E8" s="2"/>
      <x:c r="F8" s="2"/>
    </x:row>
    <x:row r="9" ht="34" customHeight="1">
      <x:c r="A9" s="9" t="str">
        <x:v>Receitas no ano selecionado</x:v>
      </x:c>
      <x:c r="B9" s="9" t="str">
        <x:v>Valor</x:v>
      </x:c>
      <x:c r="C9" s="2"/>
      <x:c r="D9" s="9" t="str">
        <x:v>Saldos informados</x:v>
      </x:c>
      <x:c r="E9" s="9" t="str">
        <x:v>Valor</x:v>
      </x:c>
      <x:c r="F9" s="2"/>
    </x:row>
    <x:row r="10" ht="24" customHeight="1">
      <x:c r="A10" s="2" t="str">
        <x:v>Salário</x:v>
      </x:c>
      <x:c r="B10" s="10" t="n">
        <x:f>SUMIFS('Notas'!$D$10:$D$209,'Notas'!$B$10:$B$209,A10,'Notas'!$A$10:$A$209,"&gt;="&amp;DATE($B$6,1,1),'Notas'!$A$10:$A$209,"&lt;"&amp;DATE($B$6+1,1,1))</x:f>
        <x:v>7000</x:v>
      </x:c>
      <x:c r="C10" s="2"/>
      <x:c r="D10" s="2" t="str">
        <x:v>Em 31/12 do ano anterior</x:v>
      </x:c>
      <x:c r="E10" s="10" t="n">
        <x:f>SUM('Informes'!D10:D209)</x:f>
        <x:v>6000</x:v>
      </x:c>
      <x:c r="F10" s="2"/>
    </x:row>
    <x:row r="11" ht="24" customHeight="1">
      <x:c r="A11" s="2" t="str">
        <x:v>Autônomo</x:v>
      </x:c>
      <x:c r="B11" s="10" t="n">
        <x:f>SUMIFS('Notas'!$D$10:$D$209,'Notas'!$B$10:$B$209,A11,'Notas'!$A$10:$A$209,"&gt;="&amp;DATE($B$6,1,1),'Notas'!$A$10:$A$209,"&lt;"&amp;DATE($B$6+1,1,1))</x:f>
        <x:v>1200</x:v>
      </x:c>
      <x:c r="C11" s="2"/>
      <x:c r="D11" s="2" t="str">
        <x:v>Em 31/12 do ano-base</x:v>
      </x:c>
      <x:c r="E11" s="10" t="n">
        <x:f>SUM('Informes'!E10:E209)</x:f>
        <x:v>7500</x:v>
      </x:c>
      <x:c r="F11" s="2"/>
    </x:row>
    <x:row r="12" ht="24" customHeight="1">
      <x:c r="A12" s="2" t="str">
        <x:v>Aluguel</x:v>
      </x:c>
      <x:c r="B12" s="10" t="n">
        <x:f>SUMIFS('Notas'!$D$10:$D$209,'Notas'!$B$10:$B$209,A12,'Notas'!$A$10:$A$209,"&gt;="&amp;DATE($B$6,1,1),'Notas'!$A$10:$A$209,"&lt;"&amp;DATE($B$6+1,1,1))</x:f>
        <x:v>0</x:v>
      </x:c>
      <x:c r="C12" s="2"/>
      <x:c r="D12" s="2"/>
      <x:c r="E12" s="2"/>
      <x:c r="F12" s="2"/>
    </x:row>
    <x:row r="13" ht="24" customHeight="1">
      <x:c r="A13" s="2" t="str">
        <x:v>Outros</x:v>
      </x:c>
      <x:c r="B13" s="10" t="n">
        <x:f>SUMIFS('Notas'!$D$10:$D$209,'Notas'!$B$10:$B$209,A13,'Notas'!$A$10:$A$209,"&gt;="&amp;DATE($B$6,1,1),'Notas'!$A$10:$A$209,"&lt;"&amp;DATE($B$6+1,1,1))</x:f>
        <x:v>0</x:v>
      </x:c>
      <x:c r="C13" s="2"/>
      <x:c r="D13" s="2" t="str">
        <x:v>Informes pendentes</x:v>
      </x:c>
      <x:c r="E13" s="2" t="n">
        <x:f>COUNTIFS('Informes'!H10:H209,"Pendente: dados ou informe")</x:f>
        <x:v>1</x:v>
      </x:c>
      <x:c r="F13" s="2"/>
    </x:row>
    <x:row r="14" ht="24" customHeight="1">
      <x:c r="A14" s="11" t="str">
        <x:v>Total de receitas</x:v>
      </x:c>
      <x:c r="B14" s="12" t="n">
        <x:f>SUM(B10:B13)</x:f>
        <x:v>8200</x:v>
      </x:c>
      <x:c r="C14" s="2"/>
      <x:c r="D14" s="2" t="str">
        <x:v>Receitas pendentes no ano</x:v>
      </x:c>
      <x:c r="E14" s="2" t="n">
        <x:f>COUNTIFS('Notas'!G10:G209,"Pendente: dados ou comprovante",'Notas'!A10:A209,"&gt;="&amp;DATE(B6,1,1),'Notas'!A10:A209,"&lt;"&amp;DATE(B6+1,1,1))</x:f>
        <x:v>1</x:v>
      </x:c>
      <x:c r="F14" s="2"/>
    </x:row>
    <x:row r="15" ht="24" customHeight="1">
      <x:c r="A15" s="2"/>
      <x:c r="B15" s="2"/>
      <x:c r="C15" s="2"/>
      <x:c r="D15" s="2"/>
      <x:c r="E15" s="2"/>
      <x:c r="F15" s="2"/>
    </x:row>
    <x:row r="16" ht="24" customHeight="1">
      <x:c r="A16" s="2"/>
      <x:c r="B16" s="2"/>
      <x:c r="C16" s="2"/>
      <x:c r="D16" s="2"/>
      <x:c r="E16" s="2"/>
      <x:c r="F16" s="2"/>
    </x:row>
    <x:row r="17" ht="24" customHeight="1">
      <x:c r="A17" s="2" t="str">
        <x:v>Como preencher</x:v>
      </x:c>
      <x:c r="B17" s="2"/>
      <x:c r="C17" s="2"/>
      <x:c r="D17" s="2"/>
      <x:c r="E17" s="2"/>
      <x:c r="F17" s="2"/>
    </x:row>
    <x:row r="18" ht="24" customHeight="1">
      <x:c r="A18" s="2" t="str">
        <x:v>1. Escolha o ano-calendário e substitua os exemplos fictícios.</x:v>
      </x:c>
      <x:c r="B18" s="2"/>
      <x:c r="C18" s="2"/>
      <x:c r="D18" s="2"/>
      <x:c r="E18" s="2"/>
      <x:c r="F18" s="2"/>
    </x:row>
    <x:row r="19" ht="24" customHeight="1">
      <x:c r="A19" s="2" t="str">
        <x:v>2. Preencha o Titular e confira os campos obrigatórios.</x:v>
      </x:c>
      <x:c r="B19" s="2"/>
      <x:c r="C19" s="2"/>
      <x:c r="D19" s="2"/>
      <x:c r="E19" s="2"/>
      <x:c r="F19" s="2"/>
    </x:row>
    <x:row r="20" ht="24" customHeight="1">
      <x:c r="A20" s="2" t="str">
        <x:v>3. Informe saldos e comprovantes bancários em Informes.</x:v>
      </x:c>
      <x:c r="B20" s="2"/>
      <x:c r="C20" s="2"/>
      <x:c r="D20" s="2"/>
      <x:c r="E20" s="2"/>
      <x:c r="F20" s="2"/>
    </x:row>
    <x:row r="21" ht="24" customHeight="1">
      <x:c r="A21" s="2" t="str">
        <x:v>4. Registre cada receita uma única vez em Notas.</x:v>
      </x:c>
      <x:c r="B21" s="2"/>
      <x:c r="C21" s="2"/>
      <x:c r="D21" s="2"/>
      <x:c r="E21" s="2"/>
      <x:c r="F21" s="2"/>
    </x:row>
    <x:row r="22" ht="24" customHeight="1">
      <x:c r="A22" s="2" t="str">
        <x:v>5. Filtre as pendências e confira os documentos antes da entrega.</x:v>
      </x:c>
      <x:c r="B22" s="2"/>
      <x:c r="C22" s="2"/>
      <x:c r="D22" s="2"/>
      <x:c r="E22" s="2"/>
      <x:c r="F22" s="2"/>
    </x:row>
    <x:row r="23" ht="24" customHeight="1">
      <x:c r="A23" s="2" t="str">
        <x:v>Amarelo: entrada editável. Cinza: fórmula ou resultado.</x:v>
      </x:c>
      <x:c r="B23" s="2"/>
      <x:c r="C23" s="2"/>
      <x:c r="D23" s="2"/>
      <x:c r="E23" s="2"/>
      <x:c r="F23" s="2"/>
    </x:row>
    <x:row r="24" ht="24" customHeight="1">
      <x:c r="A24" s="2" t="str">
        <x:v>Capacidade: 200 registros em Informes e 200 em Notas.</x:v>
      </x:c>
      <x:c r="B24" s="2"/>
      <x:c r="C24" s="2"/>
      <x:c r="D24" s="2"/>
      <x:c r="E24" s="2"/>
      <x:c r="F24" s="2"/>
    </x:row>
    <x:row r="25" ht="24" customHeight="1">
      <x:c r="A25" s="2" t="str">
        <x:v>Use uma cópia do arquivo para cada ano. Os saldos não são filtrados por ano.</x:v>
      </x:c>
      <x:c r="B25" s="2"/>
      <x:c r="C25" s="2"/>
      <x:c r="D25" s="2"/>
      <x:c r="E25" s="2"/>
      <x:c r="F25" s="2"/>
    </x:row>
    <x:row r="26" ht="24" customHeight="1">
      <x:c r="A26" s="2" t="str">
        <x:v>Organiza documentos e receitas; não calcula nem transmite o imposto.</x:v>
      </x:c>
      <x:c r="B26" s="2"/>
      <x:c r="C26" s="2"/>
      <x:c r="D26" s="2"/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24" customHeight="1">
      <x:c r="A29" s="2" t="str">
        <x:f>HYPERLINK("https://www.gov.br/receitafederal/pt-br/assuntos/meu-imposto-de-renda","Portal Meu Imposto de Renda")</x:f>
        <x:v>Portal Meu Imposto de Renda</x:v>
      </x:c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24" customHeight="1">
      <x:c r="A31" s="2"/>
      <x:c r="B31" s="2"/>
      <x:c r="C31" s="2"/>
      <x:c r="D31" s="2"/>
      <x:c r="E31" s="2"/>
      <x:c r="F31" s="2"/>
    </x:row>
    <x:row r="32" ht="24" customHeight="1">
      <x:c r="A32" s="2"/>
      <x:c r="B32" s="2"/>
      <x:c r="C32" s="2"/>
      <x:c r="D32" s="2"/>
      <x:c r="E32" s="2"/>
      <x:c r="F32" s="2"/>
    </x:row>
  </x:sheetData>
  <x:dataValidations count="1">
    <x:dataValidation type="whole" errorStyle="stop" operator="between" showErrorMessage="1" errorTitle="Confira o preenchimento" error="Informe um ano de 2000 a 2100." sqref="B6">
      <x:formula1>2000</x:formula1>
      <x:formula2>2100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653"/>
  </x:sheetPr>
  <x:sheetViews>
    <x:sheetView showGridLines="0" workbookViewId="0"/>
  </x:sheetViews>
  <x:sheetFormatPr defaultRowHeight="15"/>
  <x:cols>
    <x:col min="1" max="1" width="31" hidden="0" customWidth="1"/>
    <x:col min="2" max="2" width="39" hidden="0" customWidth="1"/>
    <x:col min="3" max="3" width="56" hidden="0" customWidth="1"/>
    <x:col min="4" max="4" width="20" hidden="0" customWidth="1"/>
  </x:cols>
  <x:sheetData>
    <x:row r="1" ht="24" customHeight="1">
      <x:c r="A1" s="2"/>
      <x:c r="B1" s="2"/>
      <x:c r="C1" s="2"/>
      <x:c r="D1" s="2"/>
    </x:row>
    <x:row r="2" ht="34" customHeight="1">
      <x:c r="A2" s="3" t="str">
        <x:v>Dados do titular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8" customHeight="1">
      <x:c r="A4" s="6" t="str">
        <x:f>HYPERLINK("#'Resumo'!A1","Resumo")</x:f>
        <x:v>Resumo</x:v>
      </x:c>
      <x:c r="B4" s="6" t="str">
        <x:f>HYPERLINK("#'Titular'!A1","Titular")</x:f>
        <x:v>Titular</x:v>
      </x:c>
      <x:c r="C4" s="6" t="str">
        <x:f>HYPERLINK("#'Informes'!A1","Informes")</x:f>
        <x:v>Informes</x:v>
      </x:c>
      <x:c r="D4" s="6" t="str">
        <x:f>HYPERLINK("#'Notas'!A1","Notas")</x:f>
        <x:v>Notas</x:v>
      </x:c>
    </x:row>
    <x:row r="5" ht="24" customHeight="1">
      <x:c r="A5" s="2"/>
      <x:c r="B5" s="2"/>
      <x:c r="C5" s="2"/>
      <x:c r="D5" s="2"/>
    </x:row>
    <x:row r="6" ht="24" customHeight="1">
      <x:c r="A6" s="2"/>
      <x:c r="B6" s="2"/>
      <x:c r="C6" s="2"/>
      <x:c r="D6" s="2"/>
    </x:row>
    <x:row r="7" ht="34" customHeight="1">
      <x:c r="A7" s="9" t="str">
        <x:v>Campo</x:v>
      </x:c>
      <x:c r="B7" s="9" t="str">
        <x:v>Preenchimento</x:v>
      </x:c>
      <x:c r="C7" s="9" t="str">
        <x:v>Orientação</x:v>
      </x:c>
      <x:c r="D7" s="2"/>
    </x:row>
    <x:row r="8" ht="24" customHeight="1">
      <x:c r="A8" s="2" t="str">
        <x:v>Nome completo</x:v>
      </x:c>
      <x:c r="B8" s="7" t="str">
        <x:v>Pessoa de exemplo</x:v>
      </x:c>
      <x:c r="C8" s="2" t="str">
        <x:v>Substitua pelo nome do titular.</x:v>
      </x:c>
      <x:c r="D8" s="2"/>
    </x:row>
    <x:row r="9" ht="24" customHeight="1">
      <x:c r="A9" s="2" t="str">
        <x:v>CPF</x:v>
      </x:c>
      <x:c r="B9" s="13"/>
      <x:c r="C9" s="2" t="str">
        <x:v>11 dígitos sem pontuação; conferência apenas de formato.</x:v>
      </x:c>
      <x:c r="D9" s="2"/>
    </x:row>
    <x:row r="10" ht="24" customHeight="1">
      <x:c r="A10" s="2" t="str">
        <x:v>Nascimento</x:v>
      </x:c>
      <x:c r="B10" s="14"/>
      <x:c r="C10" s="2" t="str">
        <x:v>Informe uma data válida.</x:v>
      </x:c>
      <x:c r="D10" s="2"/>
    </x:row>
    <x:row r="11" ht="24" customHeight="1">
      <x:c r="A11" s="2" t="str">
        <x:v>Título de eleitor</x:v>
      </x:c>
      <x:c r="B11" s="13"/>
      <x:c r="C11" s="2" t="str">
        <x:v>Opcional; mantenha como texto.</x:v>
      </x:c>
      <x:c r="D11" s="2"/>
    </x:row>
    <x:row r="12" ht="24" customHeight="1">
      <x:c r="A12" s="2" t="str">
        <x:v>Cônjuge</x:v>
      </x:c>
      <x:c r="B12" s="7"/>
      <x:c r="C12" s="2" t="str">
        <x:v>Preencha quando aplicável.</x:v>
      </x:c>
      <x:c r="D12" s="2"/>
    </x:row>
    <x:row r="13" ht="24" customHeight="1">
      <x:c r="A13" s="2" t="str">
        <x:v>Endereço</x:v>
      </x:c>
      <x:c r="B13" s="7"/>
      <x:c r="C13" s="2" t="str">
        <x:v>Rua, número e complemento.</x:v>
      </x:c>
      <x:c r="D13" s="2"/>
    </x:row>
    <x:row r="14" ht="24" customHeight="1">
      <x:c r="A14" s="2" t="str">
        <x:v>CEP</x:v>
      </x:c>
      <x:c r="B14" s="13"/>
      <x:c r="C14" s="2" t="str">
        <x:v>8 dígitos sem pontuação.</x:v>
      </x:c>
      <x:c r="D14" s="2"/>
    </x:row>
    <x:row r="15" ht="24" customHeight="1">
      <x:c r="A15" s="2" t="str">
        <x:v>Telefone</x:v>
      </x:c>
      <x:c r="B15" s="13"/>
      <x:c r="C15" s="2" t="str">
        <x:v>DDD e número.</x:v>
      </x:c>
      <x:c r="D15" s="2"/>
    </x:row>
    <x:row r="16" ht="24" customHeight="1">
      <x:c r="A16" s="2" t="str">
        <x:v>E-mail</x:v>
      </x:c>
      <x:c r="B16" s="7"/>
      <x:c r="C16" s="2" t="str">
        <x:v>Contato do titular.</x:v>
      </x:c>
      <x:c r="D16" s="2"/>
    </x:row>
    <x:row r="17" ht="24" customHeight="1">
      <x:c r="A17" s="2" t="str">
        <x:v>Alterações cadastrais?</x:v>
      </x:c>
      <x:c r="B17" s="7" t="str">
        <x:v>Não</x:v>
      </x:c>
      <x:c r="C17" s="2" t="str">
        <x:v>Use a lista.</x:v>
      </x:c>
      <x:c r="D17" s="2"/>
    </x:row>
    <x:row r="18" ht="24" customHeight="1">
      <x:c r="A18" s="2" t="str">
        <x:v>Cônjuge dependente?</x:v>
      </x:c>
      <x:c r="B18" s="7" t="str">
        <x:v>Não</x:v>
      </x:c>
      <x:c r="C18" s="2" t="str">
        <x:v>Use a lista.</x:v>
      </x:c>
      <x:c r="D18" s="2"/>
    </x:row>
    <x:row r="19" ht="24" customHeight="1">
      <x:c r="A19" s="2" t="str">
        <x:v>Residente no exterior?</x:v>
      </x:c>
      <x:c r="B19" s="7" t="str">
        <x:v>Não</x:v>
      </x:c>
      <x:c r="C19" s="2" t="str">
        <x:v>Use a lista.</x:v>
      </x:c>
      <x:c r="D19" s="2"/>
    </x:row>
    <x:row r="20" ht="24" customHeight="1">
      <x:c r="A20" s="2"/>
      <x:c r="B20" s="2"/>
      <x:c r="C20" s="2"/>
      <x:c r="D20" s="2"/>
    </x:row>
    <x:row r="21" ht="24" customHeight="1">
      <x:c r="A21" s="2" t="str">
        <x:v>Conferência cadastral</x:v>
      </x:c>
      <x:c r="B21" s="2" t="str">
        <x:f>IF(B8="","Pendente: nome",IF(B9="","Pendente: CPF",IF(OR(LEN(B9)&lt;&gt;11,NOT(ISNUMBER(VALUE(B9)))),"Pendente: formato CPF",IF(B10="","Pendente: nascimento","Dados básicos preenchidos"))))</x:f>
        <x:v>Pendente: CPF</x:v>
      </x:c>
      <x:c r="C21" s="2"/>
      <x:c r="D21" s="2"/>
    </x:row>
    <x:row r="22" ht="24" customHeight="1">
      <x:c r="A22" s="2"/>
      <x:c r="B22" s="2"/>
      <x:c r="C22" s="2"/>
      <x:c r="D22" s="2"/>
    </x:row>
    <x:row r="23" ht="24" customHeight="1">
      <x:c r="A23" s="2" t="str">
        <x:v>CPF e CEP</x:v>
      </x:c>
      <x:c r="B23" s="2" t="str">
        <x:v>A conferência não valida dígitos verificadores.</x:v>
      </x:c>
      <x:c r="C23" s="2"/>
      <x:c r="D23" s="2"/>
    </x:row>
    <x:row r="24" ht="24" customHeight="1">
      <x:c r="A24" s="2"/>
      <x:c r="B24" s="2"/>
      <x:c r="C24" s="2"/>
      <x:c r="D24" s="2"/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</x:sheetData>
  <x:conditionalFormatting sqref="B21:B21">
    <x:cfRule type="containsText" dxfId="0" priority="1" operator="containsText" text="Pendente"/>
  </x:conditionalFormatting>
  <x:dataValidations count="2">
    <x:dataValidation type="list" errorStyle="stop" showErrorMessage="1" errorTitle="Confira o preenchimento" error="Selecione uma opção da lista." sqref="B17:B19">
      <x:formula1>"Sim,Não"</x:formula1>
    </x:dataValidation>
    <x:dataValidation type="date" errorStyle="stop" operator="between" showErrorMessage="1" errorTitle="Confira o preenchimento" error="Informe uma data entre 01/01/1900 e hoje." sqref="B10">
      <x:formula1>DATE(1900,1,1)</x:formula1>
      <x:formula2>TODAY()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3653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3" hidden="0" customWidth="1"/>
    <x:col min="7" max="7" width="20" hidden="0" customWidth="1"/>
    <x:col min="8" max="8" width="3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Informes bancários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/>
      <x:c r="B3" s="4"/>
      <x:c r="C3" s="4"/>
      <x:c r="D3" s="4"/>
      <x:c r="E3" s="4"/>
      <x:c r="F3" s="4"/>
      <x:c r="G3" s="4"/>
      <x:c r="H3" s="4"/>
    </x:row>
    <x:row r="4" ht="28" customHeight="1">
      <x:c r="A4" s="6" t="str">
        <x:f>HYPERLINK("#'Resumo'!A1","Resumo")</x:f>
        <x:v>Resumo</x:v>
      </x:c>
      <x:c r="B4" s="6" t="str">
        <x:f>HYPERLINK("#'Titular'!A1","Titular")</x:f>
        <x:v>Titular</x:v>
      </x:c>
      <x:c r="C4" s="6" t="str">
        <x:f>HYPERLINK("#'Informes'!A1","Informes")</x:f>
        <x:v>Informes</x:v>
      </x:c>
      <x:c r="D4" s="6" t="str">
        <x:f>HYPERLINK("#'Notas'!A1","Notas")</x:f>
        <x:v>Notas</x:v>
      </x:c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24" customHeight="1">
      <x:c r="A6" s="2" t="str">
        <x:v>Saldos patrimoniais em 31/12. Não registre os saldos como receitas.</x:v>
      </x:c>
      <x:c r="B6" s="2"/>
      <x:c r="C6" s="2"/>
      <x:c r="D6" s="2"/>
      <x:c r="E6" s="2"/>
      <x:c r="F6" s="2"/>
      <x:c r="G6" s="2"/>
      <x:c r="H6" s="2"/>
    </x:row>
    <x:row r="7" ht="24" customHeight="1">
      <x:c r="A7" s="2"/>
      <x:c r="B7" s="2"/>
      <x:c r="C7" s="2"/>
      <x:c r="D7" s="2"/>
      <x:c r="E7" s="2"/>
      <x:c r="F7" s="2"/>
      <x:c r="G7" s="2"/>
      <x:c r="H7" s="2"/>
    </x:row>
    <x:row r="8" ht="24" customHeight="1">
      <x:c r="A8" s="2"/>
      <x:c r="B8" s="2"/>
      <x:c r="C8" s="2"/>
      <x:c r="D8" s="2"/>
      <x:c r="E8" s="2"/>
      <x:c r="F8" s="2"/>
      <x:c r="G8" s="2"/>
      <x:c r="H8" s="2"/>
    </x:row>
    <x:row r="9" ht="34" customHeight="1">
      <x:c r="A9" s="9" t="str">
        <x:v>Instituição</x:v>
      </x:c>
      <x:c r="B9" s="9" t="str">
        <x:v>Agência</x:v>
      </x:c>
      <x:c r="C9" s="9" t="str">
        <x:v>Conta</x:v>
      </x:c>
      <x:c r="D9" s="9" t="str">
        <x:v>Saldo ano anterior</x:v>
      </x:c>
      <x:c r="E9" s="9" t="str">
        <x:v>Saldo ano-base</x:v>
      </x:c>
      <x:c r="F9" s="9" t="str">
        <x:v>Arquivo ou URL</x:v>
      </x:c>
      <x:c r="G9" s="9" t="str">
        <x:v>Recebido?</x:v>
      </x:c>
      <x:c r="H9" s="9" t="str">
        <x:v>Conferência</x:v>
      </x:c>
    </x:row>
    <x:row r="10" ht="24" customHeight="1">
      <x:c r="A10" s="7" t="str">
        <x:v>Banco exemplo A</x:v>
      </x:c>
      <x:c r="B10" s="13" t="str">
        <x:v>0001</x:v>
      </x:c>
      <x:c r="C10" s="13" t="str">
        <x:v>00001-0</x:v>
      </x:c>
      <x:c r="D10" s="16" t="n">
        <x:v>4000</x:v>
      </x:c>
      <x:c r="E10" s="16" t="n">
        <x:v>5000</x:v>
      </x:c>
      <x:c r="F10" s="7" t="str">
        <x:v>informe-exemplo-a.pdf</x:v>
      </x:c>
      <x:c r="G10" s="7" t="str">
        <x:v>Sim</x:v>
      </x:c>
      <x:c r="H10" s="11" t="str">
        <x:f>IF(COUNTA(A10:G10)=0,"",IF(OR(A10="",B10="",C10="",NOT(ISNUMBER(D10)),NOT(ISNUMBER(E10)),F10="",G10&lt;&gt;"Sim"),"Pendente: dados ou informe","Completo"))</x:f>
        <x:v>Completo</x:v>
      </x:c>
    </x:row>
    <x:row r="11" ht="24" customHeight="1">
      <x:c r="A11" s="7" t="str">
        <x:v>Banco exemplo B</x:v>
      </x:c>
      <x:c r="B11" s="13" t="str">
        <x:v>0002</x:v>
      </x:c>
      <x:c r="C11" s="13" t="str">
        <x:v>00002-0</x:v>
      </x:c>
      <x:c r="D11" s="16" t="n">
        <x:v>2000</x:v>
      </x:c>
      <x:c r="E11" s="16" t="n">
        <x:v>2500</x:v>
      </x:c>
      <x:c r="F11" s="7"/>
      <x:c r="G11" s="7" t="str">
        <x:v>Não</x:v>
      </x:c>
      <x:c r="H11" s="11" t="str">
        <x:f>IF(COUNTA(A11:G11)=0,"",IF(OR(A11="",B11="",C11="",NOT(ISNUMBER(D11)),NOT(ISNUMBER(E11)),F11="",G11&lt;&gt;"Sim"),"Pendente: dados ou informe","Completo"))</x:f>
        <x:v>Pendente: dados ou informe</x:v>
      </x:c>
    </x:row>
    <x:row r="12" ht="24" customHeight="1">
      <x:c r="A12" s="7"/>
      <x:c r="B12" s="13"/>
      <x:c r="C12" s="13"/>
      <x:c r="D12" s="16"/>
      <x:c r="E12" s="16"/>
      <x:c r="F12" s="7"/>
      <x:c r="G12" s="7"/>
      <x:c r="H12" s="11" t="str">
        <x:f>IF(COUNTA(A12:G12)=0,"",IF(OR(A12="",B12="",C12="",NOT(ISNUMBER(D12)),NOT(ISNUMBER(E12)),F12="",G12&lt;&gt;"Sim"),"Pendente: dados ou informe","Completo"))</x:f>
      </x:c>
    </x:row>
    <x:row r="13" ht="24" customHeight="1">
      <x:c r="A13" s="7"/>
      <x:c r="B13" s="13"/>
      <x:c r="C13" s="13"/>
      <x:c r="D13" s="16"/>
      <x:c r="E13" s="16"/>
      <x:c r="F13" s="7"/>
      <x:c r="G13" s="7"/>
      <x:c r="H13" s="11" t="str">
        <x:f>IF(COUNTA(A13:G13)=0,"",IF(OR(A13="",B13="",C13="",NOT(ISNUMBER(D13)),NOT(ISNUMBER(E13)),F13="",G13&lt;&gt;"Sim"),"Pendente: dados ou informe","Completo"))</x:f>
      </x:c>
    </x:row>
    <x:row r="14" ht="24" customHeight="1">
      <x:c r="A14" s="7"/>
      <x:c r="B14" s="13"/>
      <x:c r="C14" s="13"/>
      <x:c r="D14" s="16"/>
      <x:c r="E14" s="16"/>
      <x:c r="F14" s="7"/>
      <x:c r="G14" s="7"/>
      <x:c r="H14" s="11" t="str">
        <x:f>IF(COUNTA(A14:G14)=0,"",IF(OR(A14="",B14="",C14="",NOT(ISNUMBER(D14)),NOT(ISNUMBER(E14)),F14="",G14&lt;&gt;"Sim"),"Pendente: dados ou informe","Completo"))</x:f>
      </x:c>
    </x:row>
    <x:row r="15" ht="24" customHeight="1">
      <x:c r="A15" s="7"/>
      <x:c r="B15" s="13"/>
      <x:c r="C15" s="13"/>
      <x:c r="D15" s="16"/>
      <x:c r="E15" s="16"/>
      <x:c r="F15" s="7"/>
      <x:c r="G15" s="7"/>
      <x:c r="H15" s="11" t="str">
        <x:f>IF(COUNTA(A15:G15)=0,"",IF(OR(A15="",B15="",C15="",NOT(ISNUMBER(D15)),NOT(ISNUMBER(E15)),F15="",G15&lt;&gt;"Sim"),"Pendente: dados ou informe","Completo"))</x:f>
      </x:c>
    </x:row>
    <x:row r="16" ht="24" customHeight="1">
      <x:c r="A16" s="7"/>
      <x:c r="B16" s="13"/>
      <x:c r="C16" s="13"/>
      <x:c r="D16" s="16"/>
      <x:c r="E16" s="16"/>
      <x:c r="F16" s="7"/>
      <x:c r="G16" s="7"/>
      <x:c r="H16" s="11" t="str">
        <x:f>IF(COUNTA(A16:G16)=0,"",IF(OR(A16="",B16="",C16="",NOT(ISNUMBER(D16)),NOT(ISNUMBER(E16)),F16="",G16&lt;&gt;"Sim"),"Pendente: dados ou informe","Completo"))</x:f>
      </x:c>
    </x:row>
    <x:row r="17" ht="24" customHeight="1">
      <x:c r="A17" s="7"/>
      <x:c r="B17" s="13"/>
      <x:c r="C17" s="13"/>
      <x:c r="D17" s="16"/>
      <x:c r="E17" s="16"/>
      <x:c r="F17" s="7"/>
      <x:c r="G17" s="7"/>
      <x:c r="H17" s="11" t="str">
        <x:f>IF(COUNTA(A17:G17)=0,"",IF(OR(A17="",B17="",C17="",NOT(ISNUMBER(D17)),NOT(ISNUMBER(E17)),F17="",G17&lt;&gt;"Sim"),"Pendente: dados ou informe","Completo"))</x:f>
      </x:c>
    </x:row>
    <x:row r="18" ht="24" customHeight="1">
      <x:c r="A18" s="7"/>
      <x:c r="B18" s="13"/>
      <x:c r="C18" s="13"/>
      <x:c r="D18" s="16"/>
      <x:c r="E18" s="16"/>
      <x:c r="F18" s="7"/>
      <x:c r="G18" s="7"/>
      <x:c r="H18" s="11" t="str">
        <x:f>IF(COUNTA(A18:G18)=0,"",IF(OR(A18="",B18="",C18="",NOT(ISNUMBER(D18)),NOT(ISNUMBER(E18)),F18="",G18&lt;&gt;"Sim"),"Pendente: dados ou informe","Completo"))</x:f>
      </x:c>
    </x:row>
    <x:row r="19" ht="24" customHeight="1">
      <x:c r="A19" s="7"/>
      <x:c r="B19" s="13"/>
      <x:c r="C19" s="13"/>
      <x:c r="D19" s="16"/>
      <x:c r="E19" s="16"/>
      <x:c r="F19" s="7"/>
      <x:c r="G19" s="7"/>
      <x:c r="H19" s="11" t="str">
        <x:f>IF(COUNTA(A19:G19)=0,"",IF(OR(A19="",B19="",C19="",NOT(ISNUMBER(D19)),NOT(ISNUMBER(E19)),F19="",G19&lt;&gt;"Sim"),"Pendente: dados ou informe","Completo"))</x:f>
      </x:c>
    </x:row>
    <x:row r="20" ht="24" customHeight="1">
      <x:c r="A20" s="7"/>
      <x:c r="B20" s="13"/>
      <x:c r="C20" s="13"/>
      <x:c r="D20" s="16"/>
      <x:c r="E20" s="16"/>
      <x:c r="F20" s="7"/>
      <x:c r="G20" s="7"/>
      <x:c r="H20" s="11" t="str">
        <x:f>IF(COUNTA(A20:G20)=0,"",IF(OR(A20="",B20="",C20="",NOT(ISNUMBER(D20)),NOT(ISNUMBER(E20)),F20="",G20&lt;&gt;"Sim"),"Pendente: dados ou informe","Completo"))</x:f>
      </x:c>
    </x:row>
    <x:row r="21" ht="24" customHeight="1">
      <x:c r="A21" s="7"/>
      <x:c r="B21" s="13"/>
      <x:c r="C21" s="13"/>
      <x:c r="D21" s="16"/>
      <x:c r="E21" s="16"/>
      <x:c r="F21" s="7"/>
      <x:c r="G21" s="7"/>
      <x:c r="H21" s="11" t="str">
        <x:f>IF(COUNTA(A21:G21)=0,"",IF(OR(A21="",B21="",C21="",NOT(ISNUMBER(D21)),NOT(ISNUMBER(E21)),F21="",G21&lt;&gt;"Sim"),"Pendente: dados ou informe","Completo"))</x:f>
      </x:c>
    </x:row>
    <x:row r="22" ht="24" customHeight="1">
      <x:c r="A22" s="7"/>
      <x:c r="B22" s="13"/>
      <x:c r="C22" s="13"/>
      <x:c r="D22" s="16"/>
      <x:c r="E22" s="16"/>
      <x:c r="F22" s="7"/>
      <x:c r="G22" s="7"/>
      <x:c r="H22" s="11" t="str">
        <x:f>IF(COUNTA(A22:G22)=0,"",IF(OR(A22="",B22="",C22="",NOT(ISNUMBER(D22)),NOT(ISNUMBER(E22)),F22="",G22&lt;&gt;"Sim"),"Pendente: dados ou informe","Completo"))</x:f>
      </x:c>
    </x:row>
    <x:row r="23" ht="24" customHeight="1">
      <x:c r="A23" s="7"/>
      <x:c r="B23" s="13"/>
      <x:c r="C23" s="13"/>
      <x:c r="D23" s="16"/>
      <x:c r="E23" s="16"/>
      <x:c r="F23" s="7"/>
      <x:c r="G23" s="7"/>
      <x:c r="H23" s="11" t="str">
        <x:f>IF(COUNTA(A23:G23)=0,"",IF(OR(A23="",B23="",C23="",NOT(ISNUMBER(D23)),NOT(ISNUMBER(E23)),F23="",G23&lt;&gt;"Sim"),"Pendente: dados ou informe","Completo"))</x:f>
      </x:c>
    </x:row>
    <x:row r="24" ht="24" customHeight="1">
      <x:c r="A24" s="7"/>
      <x:c r="B24" s="13"/>
      <x:c r="C24" s="13"/>
      <x:c r="D24" s="16"/>
      <x:c r="E24" s="16"/>
      <x:c r="F24" s="7"/>
      <x:c r="G24" s="7"/>
      <x:c r="H24" s="11" t="str">
        <x:f>IF(COUNTA(A24:G24)=0,"",IF(OR(A24="",B24="",C24="",NOT(ISNUMBER(D24)),NOT(ISNUMBER(E24)),F24="",G24&lt;&gt;"Sim"),"Pendente: dados ou informe","Completo"))</x:f>
      </x:c>
    </x:row>
    <x:row r="25" ht="24" customHeight="1">
      <x:c r="A25" s="7"/>
      <x:c r="B25" s="13"/>
      <x:c r="C25" s="13"/>
      <x:c r="D25" s="16"/>
      <x:c r="E25" s="16"/>
      <x:c r="F25" s="7"/>
      <x:c r="G25" s="7"/>
      <x:c r="H25" s="11" t="str">
        <x:f>IF(COUNTA(A25:G25)=0,"",IF(OR(A25="",B25="",C25="",NOT(ISNUMBER(D25)),NOT(ISNUMBER(E25)),F25="",G25&lt;&gt;"Sim"),"Pendente: dados ou informe","Completo"))</x:f>
      </x:c>
    </x:row>
    <x:row r="26" ht="24" customHeight="1">
      <x:c r="A26" s="7"/>
      <x:c r="B26" s="13"/>
      <x:c r="C26" s="13"/>
      <x:c r="D26" s="16"/>
      <x:c r="E26" s="16"/>
      <x:c r="F26" s="7"/>
      <x:c r="G26" s="7"/>
      <x:c r="H26" s="11" t="str">
        <x:f>IF(COUNTA(A26:G26)=0,"",IF(OR(A26="",B26="",C26="",NOT(ISNUMBER(D26)),NOT(ISNUMBER(E26)),F26="",G26&lt;&gt;"Sim"),"Pendente: dados ou informe","Completo"))</x:f>
      </x:c>
    </x:row>
    <x:row r="27" ht="24" customHeight="1">
      <x:c r="A27" s="7"/>
      <x:c r="B27" s="13"/>
      <x:c r="C27" s="13"/>
      <x:c r="D27" s="16"/>
      <x:c r="E27" s="16"/>
      <x:c r="F27" s="7"/>
      <x:c r="G27" s="7"/>
      <x:c r="H27" s="11" t="str">
        <x:f>IF(COUNTA(A27:G27)=0,"",IF(OR(A27="",B27="",C27="",NOT(ISNUMBER(D27)),NOT(ISNUMBER(E27)),F27="",G27&lt;&gt;"Sim"),"Pendente: dados ou informe","Completo"))</x:f>
      </x:c>
    </x:row>
    <x:row r="28" ht="24" customHeight="1">
      <x:c r="A28" s="7"/>
      <x:c r="B28" s="13"/>
      <x:c r="C28" s="13"/>
      <x:c r="D28" s="16"/>
      <x:c r="E28" s="16"/>
      <x:c r="F28" s="7"/>
      <x:c r="G28" s="7"/>
      <x:c r="H28" s="11" t="str">
        <x:f>IF(COUNTA(A28:G28)=0,"",IF(OR(A28="",B28="",C28="",NOT(ISNUMBER(D28)),NOT(ISNUMBER(E28)),F28="",G28&lt;&gt;"Sim"),"Pendente: dados ou informe","Completo"))</x:f>
      </x:c>
    </x:row>
    <x:row r="29" ht="24" customHeight="1">
      <x:c r="A29" s="7"/>
      <x:c r="B29" s="13"/>
      <x:c r="C29" s="13"/>
      <x:c r="D29" s="16"/>
      <x:c r="E29" s="16"/>
      <x:c r="F29" s="7"/>
      <x:c r="G29" s="7"/>
      <x:c r="H29" s="11" t="str">
        <x:f>IF(COUNTA(A29:G29)=0,"",IF(OR(A29="",B29="",C29="",NOT(ISNUMBER(D29)),NOT(ISNUMBER(E29)),F29="",G29&lt;&gt;"Sim"),"Pendente: dados ou informe","Completo"))</x:f>
      </x:c>
    </x:row>
    <x:row r="30" ht="24" customHeight="1">
      <x:c r="A30" s="7"/>
      <x:c r="B30" s="13"/>
      <x:c r="C30" s="13"/>
      <x:c r="D30" s="16"/>
      <x:c r="E30" s="16"/>
      <x:c r="F30" s="7"/>
      <x:c r="G30" s="7"/>
      <x:c r="H30" s="11" t="str">
        <x:f>IF(COUNTA(A30:G30)=0,"",IF(OR(A30="",B30="",C30="",NOT(ISNUMBER(D30)),NOT(ISNUMBER(E30)),F30="",G30&lt;&gt;"Sim"),"Pendente: dados ou informe","Completo"))</x:f>
      </x:c>
    </x:row>
    <x:row r="31" ht="24" customHeight="1">
      <x:c r="A31" s="7"/>
      <x:c r="B31" s="13"/>
      <x:c r="C31" s="13"/>
      <x:c r="D31" s="16"/>
      <x:c r="E31" s="16"/>
      <x:c r="F31" s="7"/>
      <x:c r="G31" s="7"/>
      <x:c r="H31" s="11" t="str">
        <x:f>IF(COUNTA(A31:G31)=0,"",IF(OR(A31="",B31="",C31="",NOT(ISNUMBER(D31)),NOT(ISNUMBER(E31)),F31="",G31&lt;&gt;"Sim"),"Pendente: dados ou informe","Completo"))</x:f>
      </x:c>
    </x:row>
    <x:row r="32" ht="24" customHeight="1">
      <x:c r="A32" s="7"/>
      <x:c r="B32" s="13"/>
      <x:c r="C32" s="13"/>
      <x:c r="D32" s="16"/>
      <x:c r="E32" s="16"/>
      <x:c r="F32" s="7"/>
      <x:c r="G32" s="7"/>
      <x:c r="H32" s="11" t="str">
        <x:f>IF(COUNTA(A32:G32)=0,"",IF(OR(A32="",B32="",C32="",NOT(ISNUMBER(D32)),NOT(ISNUMBER(E32)),F32="",G32&lt;&gt;"Sim"),"Pendente: dados ou informe","Completo"))</x:f>
      </x:c>
    </x:row>
    <x:row r="33" ht="24" customHeight="1">
      <x:c r="A33" s="7"/>
      <x:c r="B33" s="13"/>
      <x:c r="C33" s="13"/>
      <x:c r="D33" s="16"/>
      <x:c r="E33" s="16"/>
      <x:c r="F33" s="7"/>
      <x:c r="G33" s="7"/>
      <x:c r="H33" s="11" t="str">
        <x:f>IF(COUNTA(A33:G33)=0,"",IF(OR(A33="",B33="",C33="",NOT(ISNUMBER(D33)),NOT(ISNUMBER(E33)),F33="",G33&lt;&gt;"Sim"),"Pendente: dados ou informe","Completo"))</x:f>
      </x:c>
    </x:row>
    <x:row r="34" ht="24" customHeight="1">
      <x:c r="A34" s="7"/>
      <x:c r="B34" s="13"/>
      <x:c r="C34" s="13"/>
      <x:c r="D34" s="16"/>
      <x:c r="E34" s="16"/>
      <x:c r="F34" s="7"/>
      <x:c r="G34" s="7"/>
      <x:c r="H34" s="11" t="str">
        <x:f>IF(COUNTA(A34:G34)=0,"",IF(OR(A34="",B34="",C34="",NOT(ISNUMBER(D34)),NOT(ISNUMBER(E34)),F34="",G34&lt;&gt;"Sim"),"Pendente: dados ou informe","Completo"))</x:f>
      </x:c>
    </x:row>
    <x:row r="35" ht="24" customHeight="1">
      <x:c r="A35" s="7"/>
      <x:c r="B35" s="13"/>
      <x:c r="C35" s="13"/>
      <x:c r="D35" s="16"/>
      <x:c r="E35" s="16"/>
      <x:c r="F35" s="7"/>
      <x:c r="G35" s="7"/>
      <x:c r="H35" s="11" t="str">
        <x:f>IF(COUNTA(A35:G35)=0,"",IF(OR(A35="",B35="",C35="",NOT(ISNUMBER(D35)),NOT(ISNUMBER(E35)),F35="",G35&lt;&gt;"Sim"),"Pendente: dados ou informe","Completo"))</x:f>
      </x:c>
    </x:row>
    <x:row r="36" ht="24" customHeight="1">
      <x:c r="A36" s="7"/>
      <x:c r="B36" s="13"/>
      <x:c r="C36" s="13"/>
      <x:c r="D36" s="16"/>
      <x:c r="E36" s="16"/>
      <x:c r="F36" s="7"/>
      <x:c r="G36" s="7"/>
      <x:c r="H36" s="11" t="str">
        <x:f>IF(COUNTA(A36:G36)=0,"",IF(OR(A36="",B36="",C36="",NOT(ISNUMBER(D36)),NOT(ISNUMBER(E36)),F36="",G36&lt;&gt;"Sim"),"Pendente: dados ou informe","Completo"))</x:f>
      </x:c>
    </x:row>
    <x:row r="37" ht="24" customHeight="1">
      <x:c r="A37" s="7"/>
      <x:c r="B37" s="13"/>
      <x:c r="C37" s="13"/>
      <x:c r="D37" s="16"/>
      <x:c r="E37" s="16"/>
      <x:c r="F37" s="7"/>
      <x:c r="G37" s="7"/>
      <x:c r="H37" s="11" t="str">
        <x:f>IF(COUNTA(A37:G37)=0,"",IF(OR(A37="",B37="",C37="",NOT(ISNUMBER(D37)),NOT(ISNUMBER(E37)),F37="",G37&lt;&gt;"Sim"),"Pendente: dados ou informe","Completo"))</x:f>
      </x:c>
    </x:row>
    <x:row r="38" ht="24" customHeight="1">
      <x:c r="A38" s="7"/>
      <x:c r="B38" s="13"/>
      <x:c r="C38" s="13"/>
      <x:c r="D38" s="16"/>
      <x:c r="E38" s="16"/>
      <x:c r="F38" s="7"/>
      <x:c r="G38" s="7"/>
      <x:c r="H38" s="11" t="str">
        <x:f>IF(COUNTA(A38:G38)=0,"",IF(OR(A38="",B38="",C38="",NOT(ISNUMBER(D38)),NOT(ISNUMBER(E38)),F38="",G38&lt;&gt;"Sim"),"Pendente: dados ou informe","Completo"))</x:f>
      </x:c>
    </x:row>
    <x:row r="39" ht="24" customHeight="1">
      <x:c r="A39" s="7"/>
      <x:c r="B39" s="13"/>
      <x:c r="C39" s="13"/>
      <x:c r="D39" s="16"/>
      <x:c r="E39" s="16"/>
      <x:c r="F39" s="7"/>
      <x:c r="G39" s="7"/>
      <x:c r="H39" s="11" t="str">
        <x:f>IF(COUNTA(A39:G39)=0,"",IF(OR(A39="",B39="",C39="",NOT(ISNUMBER(D39)),NOT(ISNUMBER(E39)),F39="",G39&lt;&gt;"Sim"),"Pendente: dados ou informe","Completo"))</x:f>
      </x:c>
    </x:row>
    <x:row r="40" ht="24" customHeight="1">
      <x:c r="A40" s="7"/>
      <x:c r="B40" s="13"/>
      <x:c r="C40" s="13"/>
      <x:c r="D40" s="16"/>
      <x:c r="E40" s="16"/>
      <x:c r="F40" s="7"/>
      <x:c r="G40" s="7"/>
      <x:c r="H40" s="11" t="str">
        <x:f>IF(COUNTA(A40:G40)=0,"",IF(OR(A40="",B40="",C40="",NOT(ISNUMBER(D40)),NOT(ISNUMBER(E40)),F40="",G40&lt;&gt;"Sim"),"Pendente: dados ou informe","Completo"))</x:f>
      </x:c>
    </x:row>
    <x:row r="41" ht="24" customHeight="1">
      <x:c r="A41" s="7"/>
      <x:c r="B41" s="13"/>
      <x:c r="C41" s="13"/>
      <x:c r="D41" s="16"/>
      <x:c r="E41" s="16"/>
      <x:c r="F41" s="7"/>
      <x:c r="G41" s="7"/>
      <x:c r="H41" s="11" t="str">
        <x:f>IF(COUNTA(A41:G41)=0,"",IF(OR(A41="",B41="",C41="",NOT(ISNUMBER(D41)),NOT(ISNUMBER(E41)),F41="",G41&lt;&gt;"Sim"),"Pendente: dados ou informe","Completo"))</x:f>
      </x:c>
    </x:row>
    <x:row r="42" ht="24" customHeight="1">
      <x:c r="A42" s="7"/>
      <x:c r="B42" s="13"/>
      <x:c r="C42" s="13"/>
      <x:c r="D42" s="16"/>
      <x:c r="E42" s="16"/>
      <x:c r="F42" s="7"/>
      <x:c r="G42" s="7"/>
      <x:c r="H42" s="11" t="str">
        <x:f>IF(COUNTA(A42:G42)=0,"",IF(OR(A42="",B42="",C42="",NOT(ISNUMBER(D42)),NOT(ISNUMBER(E42)),F42="",G42&lt;&gt;"Sim"),"Pendente: dados ou informe","Completo"))</x:f>
      </x:c>
    </x:row>
    <x:row r="43" ht="24" customHeight="1">
      <x:c r="A43" s="7"/>
      <x:c r="B43" s="13"/>
      <x:c r="C43" s="13"/>
      <x:c r="D43" s="16"/>
      <x:c r="E43" s="16"/>
      <x:c r="F43" s="7"/>
      <x:c r="G43" s="7"/>
      <x:c r="H43" s="11" t="str">
        <x:f>IF(COUNTA(A43:G43)=0,"",IF(OR(A43="",B43="",C43="",NOT(ISNUMBER(D43)),NOT(ISNUMBER(E43)),F43="",G43&lt;&gt;"Sim"),"Pendente: dados ou informe","Completo"))</x:f>
      </x:c>
    </x:row>
    <x:row r="44" ht="24" customHeight="1">
      <x:c r="A44" s="7"/>
      <x:c r="B44" s="13"/>
      <x:c r="C44" s="13"/>
      <x:c r="D44" s="16"/>
      <x:c r="E44" s="16"/>
      <x:c r="F44" s="7"/>
      <x:c r="G44" s="7"/>
      <x:c r="H44" s="11" t="str">
        <x:f>IF(COUNTA(A44:G44)=0,"",IF(OR(A44="",B44="",C44="",NOT(ISNUMBER(D44)),NOT(ISNUMBER(E44)),F44="",G44&lt;&gt;"Sim"),"Pendente: dados ou informe","Completo"))</x:f>
      </x:c>
    </x:row>
    <x:row r="45" ht="24" customHeight="1">
      <x:c r="A45" s="7"/>
      <x:c r="B45" s="13"/>
      <x:c r="C45" s="13"/>
      <x:c r="D45" s="16"/>
      <x:c r="E45" s="16"/>
      <x:c r="F45" s="7"/>
      <x:c r="G45" s="7"/>
      <x:c r="H45" s="11" t="str">
        <x:f>IF(COUNTA(A45:G45)=0,"",IF(OR(A45="",B45="",C45="",NOT(ISNUMBER(D45)),NOT(ISNUMBER(E45)),F45="",G45&lt;&gt;"Sim"),"Pendente: dados ou informe","Completo"))</x:f>
      </x:c>
    </x:row>
    <x:row r="46" ht="24" customHeight="1">
      <x:c r="A46" s="7"/>
      <x:c r="B46" s="13"/>
      <x:c r="C46" s="13"/>
      <x:c r="D46" s="16"/>
      <x:c r="E46" s="16"/>
      <x:c r="F46" s="7"/>
      <x:c r="G46" s="7"/>
      <x:c r="H46" s="11" t="str">
        <x:f>IF(COUNTA(A46:G46)=0,"",IF(OR(A46="",B46="",C46="",NOT(ISNUMBER(D46)),NOT(ISNUMBER(E46)),F46="",G46&lt;&gt;"Sim"),"Pendente: dados ou informe","Completo"))</x:f>
      </x:c>
    </x:row>
    <x:row r="47" ht="24" customHeight="1">
      <x:c r="A47" s="7"/>
      <x:c r="B47" s="13"/>
      <x:c r="C47" s="13"/>
      <x:c r="D47" s="16"/>
      <x:c r="E47" s="16"/>
      <x:c r="F47" s="7"/>
      <x:c r="G47" s="7"/>
      <x:c r="H47" s="11" t="str">
        <x:f>IF(COUNTA(A47:G47)=0,"",IF(OR(A47="",B47="",C47="",NOT(ISNUMBER(D47)),NOT(ISNUMBER(E47)),F47="",G47&lt;&gt;"Sim"),"Pendente: dados ou informe","Completo"))</x:f>
      </x:c>
    </x:row>
    <x:row r="48" ht="24" customHeight="1">
      <x:c r="A48" s="7"/>
      <x:c r="B48" s="13"/>
      <x:c r="C48" s="13"/>
      <x:c r="D48" s="16"/>
      <x:c r="E48" s="16"/>
      <x:c r="F48" s="7"/>
      <x:c r="G48" s="7"/>
      <x:c r="H48" s="11" t="str">
        <x:f>IF(COUNTA(A48:G48)=0,"",IF(OR(A48="",B48="",C48="",NOT(ISNUMBER(D48)),NOT(ISNUMBER(E48)),F48="",G48&lt;&gt;"Sim"),"Pendente: dados ou informe","Completo"))</x:f>
      </x:c>
    </x:row>
    <x:row r="49" ht="24" customHeight="1">
      <x:c r="A49" s="7"/>
      <x:c r="B49" s="13"/>
      <x:c r="C49" s="13"/>
      <x:c r="D49" s="16"/>
      <x:c r="E49" s="16"/>
      <x:c r="F49" s="7"/>
      <x:c r="G49" s="7"/>
      <x:c r="H49" s="11" t="str">
        <x:f>IF(COUNTA(A49:G49)=0,"",IF(OR(A49="",B49="",C49="",NOT(ISNUMBER(D49)),NOT(ISNUMBER(E49)),F49="",G49&lt;&gt;"Sim"),"Pendente: dados ou informe","Completo"))</x:f>
      </x:c>
    </x:row>
    <x:row r="50" ht="24" customHeight="1">
      <x:c r="A50" s="7"/>
      <x:c r="B50" s="13"/>
      <x:c r="C50" s="13"/>
      <x:c r="D50" s="16"/>
      <x:c r="E50" s="16"/>
      <x:c r="F50" s="7"/>
      <x:c r="G50" s="7"/>
      <x:c r="H50" s="11" t="str">
        <x:f>IF(COUNTA(A50:G50)=0,"",IF(OR(A50="",B50="",C50="",NOT(ISNUMBER(D50)),NOT(ISNUMBER(E50)),F50="",G50&lt;&gt;"Sim"),"Pendente: dados ou informe","Completo"))</x:f>
      </x:c>
    </x:row>
    <x:row r="51" ht="24" customHeight="1">
      <x:c r="A51" s="7"/>
      <x:c r="B51" s="13"/>
      <x:c r="C51" s="13"/>
      <x:c r="D51" s="16"/>
      <x:c r="E51" s="16"/>
      <x:c r="F51" s="7"/>
      <x:c r="G51" s="7"/>
      <x:c r="H51" s="11" t="str">
        <x:f>IF(COUNTA(A51:G51)=0,"",IF(OR(A51="",B51="",C51="",NOT(ISNUMBER(D51)),NOT(ISNUMBER(E51)),F51="",G51&lt;&gt;"Sim"),"Pendente: dados ou informe","Completo"))</x:f>
      </x:c>
    </x:row>
    <x:row r="52" ht="24" customHeight="1">
      <x:c r="A52" s="7"/>
      <x:c r="B52" s="13"/>
      <x:c r="C52" s="13"/>
      <x:c r="D52" s="16"/>
      <x:c r="E52" s="16"/>
      <x:c r="F52" s="7"/>
      <x:c r="G52" s="7"/>
      <x:c r="H52" s="11" t="str">
        <x:f>IF(COUNTA(A52:G52)=0,"",IF(OR(A52="",B52="",C52="",NOT(ISNUMBER(D52)),NOT(ISNUMBER(E52)),F52="",G52&lt;&gt;"Sim"),"Pendente: dados ou informe","Completo"))</x:f>
      </x:c>
    </x:row>
    <x:row r="53" ht="24" customHeight="1">
      <x:c r="A53" s="7"/>
      <x:c r="B53" s="13"/>
      <x:c r="C53" s="13"/>
      <x:c r="D53" s="16"/>
      <x:c r="E53" s="16"/>
      <x:c r="F53" s="7"/>
      <x:c r="G53" s="7"/>
      <x:c r="H53" s="11" t="str">
        <x:f>IF(COUNTA(A53:G53)=0,"",IF(OR(A53="",B53="",C53="",NOT(ISNUMBER(D53)),NOT(ISNUMBER(E53)),F53="",G53&lt;&gt;"Sim"),"Pendente: dados ou informe","Completo"))</x:f>
      </x:c>
    </x:row>
    <x:row r="54" ht="24" customHeight="1">
      <x:c r="A54" s="7"/>
      <x:c r="B54" s="13"/>
      <x:c r="C54" s="13"/>
      <x:c r="D54" s="16"/>
      <x:c r="E54" s="16"/>
      <x:c r="F54" s="7"/>
      <x:c r="G54" s="7"/>
      <x:c r="H54" s="11" t="str">
        <x:f>IF(COUNTA(A54:G54)=0,"",IF(OR(A54="",B54="",C54="",NOT(ISNUMBER(D54)),NOT(ISNUMBER(E54)),F54="",G54&lt;&gt;"Sim"),"Pendente: dados ou informe","Completo"))</x:f>
      </x:c>
    </x:row>
    <x:row r="55" ht="24" customHeight="1">
      <x:c r="A55" s="7"/>
      <x:c r="B55" s="13"/>
      <x:c r="C55" s="13"/>
      <x:c r="D55" s="16"/>
      <x:c r="E55" s="16"/>
      <x:c r="F55" s="7"/>
      <x:c r="G55" s="7"/>
      <x:c r="H55" s="11" t="str">
        <x:f>IF(COUNTA(A55:G55)=0,"",IF(OR(A55="",B55="",C55="",NOT(ISNUMBER(D55)),NOT(ISNUMBER(E55)),F55="",G55&lt;&gt;"Sim"),"Pendente: dados ou informe","Completo"))</x:f>
      </x:c>
    </x:row>
    <x:row r="56" ht="24" customHeight="1">
      <x:c r="A56" s="7"/>
      <x:c r="B56" s="13"/>
      <x:c r="C56" s="13"/>
      <x:c r="D56" s="16"/>
      <x:c r="E56" s="16"/>
      <x:c r="F56" s="7"/>
      <x:c r="G56" s="7"/>
      <x:c r="H56" s="11" t="str">
        <x:f>IF(COUNTA(A56:G56)=0,"",IF(OR(A56="",B56="",C56="",NOT(ISNUMBER(D56)),NOT(ISNUMBER(E56)),F56="",G56&lt;&gt;"Sim"),"Pendente: dados ou informe","Completo"))</x:f>
      </x:c>
    </x:row>
    <x:row r="57" ht="24" customHeight="1">
      <x:c r="A57" s="7"/>
      <x:c r="B57" s="13"/>
      <x:c r="C57" s="13"/>
      <x:c r="D57" s="16"/>
      <x:c r="E57" s="16"/>
      <x:c r="F57" s="7"/>
      <x:c r="G57" s="7"/>
      <x:c r="H57" s="11" t="str">
        <x:f>IF(COUNTA(A57:G57)=0,"",IF(OR(A57="",B57="",C57="",NOT(ISNUMBER(D57)),NOT(ISNUMBER(E57)),F57="",G57&lt;&gt;"Sim"),"Pendente: dados ou informe","Completo"))</x:f>
      </x:c>
    </x:row>
    <x:row r="58" ht="24" customHeight="1">
      <x:c r="A58" s="7"/>
      <x:c r="B58" s="13"/>
      <x:c r="C58" s="13"/>
      <x:c r="D58" s="16"/>
      <x:c r="E58" s="16"/>
      <x:c r="F58" s="7"/>
      <x:c r="G58" s="7"/>
      <x:c r="H58" s="11" t="str">
        <x:f>IF(COUNTA(A58:G58)=0,"",IF(OR(A58="",B58="",C58="",NOT(ISNUMBER(D58)),NOT(ISNUMBER(E58)),F58="",G58&lt;&gt;"Sim"),"Pendente: dados ou informe","Completo"))</x:f>
      </x:c>
    </x:row>
    <x:row r="59" ht="24" customHeight="1">
      <x:c r="A59" s="7"/>
      <x:c r="B59" s="13"/>
      <x:c r="C59" s="13"/>
      <x:c r="D59" s="16"/>
      <x:c r="E59" s="16"/>
      <x:c r="F59" s="7"/>
      <x:c r="G59" s="7"/>
      <x:c r="H59" s="11" t="str">
        <x:f>IF(COUNTA(A59:G59)=0,"",IF(OR(A59="",B59="",C59="",NOT(ISNUMBER(D59)),NOT(ISNUMBER(E59)),F59="",G59&lt;&gt;"Sim"),"Pendente: dados ou informe","Completo"))</x:f>
      </x:c>
    </x:row>
    <x:row r="60" ht="24" customHeight="1">
      <x:c r="A60" s="7"/>
      <x:c r="B60" s="13"/>
      <x:c r="C60" s="13"/>
      <x:c r="D60" s="16"/>
      <x:c r="E60" s="16"/>
      <x:c r="F60" s="7"/>
      <x:c r="G60" s="7"/>
      <x:c r="H60" s="11" t="str">
        <x:f>IF(COUNTA(A60:G60)=0,"",IF(OR(A60="",B60="",C60="",NOT(ISNUMBER(D60)),NOT(ISNUMBER(E60)),F60="",G60&lt;&gt;"Sim"),"Pendente: dados ou informe","Completo"))</x:f>
      </x:c>
    </x:row>
    <x:row r="61" ht="24" customHeight="1">
      <x:c r="A61" s="7"/>
      <x:c r="B61" s="13"/>
      <x:c r="C61" s="13"/>
      <x:c r="D61" s="16"/>
      <x:c r="E61" s="16"/>
      <x:c r="F61" s="7"/>
      <x:c r="G61" s="7"/>
      <x:c r="H61" s="11" t="str">
        <x:f>IF(COUNTA(A61:G61)=0,"",IF(OR(A61="",B61="",C61="",NOT(ISNUMBER(D61)),NOT(ISNUMBER(E61)),F61="",G61&lt;&gt;"Sim"),"Pendente: dados ou informe","Completo"))</x:f>
      </x:c>
    </x:row>
    <x:row r="62" ht="24" customHeight="1">
      <x:c r="A62" s="7"/>
      <x:c r="B62" s="13"/>
      <x:c r="C62" s="13"/>
      <x:c r="D62" s="16"/>
      <x:c r="E62" s="16"/>
      <x:c r="F62" s="7"/>
      <x:c r="G62" s="7"/>
      <x:c r="H62" s="11" t="str">
        <x:f>IF(COUNTA(A62:G62)=0,"",IF(OR(A62="",B62="",C62="",NOT(ISNUMBER(D62)),NOT(ISNUMBER(E62)),F62="",G62&lt;&gt;"Sim"),"Pendente: dados ou informe","Completo"))</x:f>
      </x:c>
    </x:row>
    <x:row r="63" ht="24" customHeight="1">
      <x:c r="A63" s="7"/>
      <x:c r="B63" s="13"/>
      <x:c r="C63" s="13"/>
      <x:c r="D63" s="16"/>
      <x:c r="E63" s="16"/>
      <x:c r="F63" s="7"/>
      <x:c r="G63" s="7"/>
      <x:c r="H63" s="11" t="str">
        <x:f>IF(COUNTA(A63:G63)=0,"",IF(OR(A63="",B63="",C63="",NOT(ISNUMBER(D63)),NOT(ISNUMBER(E63)),F63="",G63&lt;&gt;"Sim"),"Pendente: dados ou informe","Completo"))</x:f>
      </x:c>
    </x:row>
    <x:row r="64" ht="24" customHeight="1">
      <x:c r="A64" s="7"/>
      <x:c r="B64" s="13"/>
      <x:c r="C64" s="13"/>
      <x:c r="D64" s="16"/>
      <x:c r="E64" s="16"/>
      <x:c r="F64" s="7"/>
      <x:c r="G64" s="7"/>
      <x:c r="H64" s="11" t="str">
        <x:f>IF(COUNTA(A64:G64)=0,"",IF(OR(A64="",B64="",C64="",NOT(ISNUMBER(D64)),NOT(ISNUMBER(E64)),F64="",G64&lt;&gt;"Sim"),"Pendente: dados ou informe","Completo"))</x:f>
      </x:c>
    </x:row>
    <x:row r="65" ht="24" customHeight="1">
      <x:c r="A65" s="7"/>
      <x:c r="B65" s="13"/>
      <x:c r="C65" s="13"/>
      <x:c r="D65" s="16"/>
      <x:c r="E65" s="16"/>
      <x:c r="F65" s="7"/>
      <x:c r="G65" s="7"/>
      <x:c r="H65" s="11" t="str">
        <x:f>IF(COUNTA(A65:G65)=0,"",IF(OR(A65="",B65="",C65="",NOT(ISNUMBER(D65)),NOT(ISNUMBER(E65)),F65="",G65&lt;&gt;"Sim"),"Pendente: dados ou informe","Completo"))</x:f>
      </x:c>
    </x:row>
    <x:row r="66" ht="24" customHeight="1">
      <x:c r="A66" s="7"/>
      <x:c r="B66" s="13"/>
      <x:c r="C66" s="13"/>
      <x:c r="D66" s="16"/>
      <x:c r="E66" s="16"/>
      <x:c r="F66" s="7"/>
      <x:c r="G66" s="7"/>
      <x:c r="H66" s="11" t="str">
        <x:f>IF(COUNTA(A66:G66)=0,"",IF(OR(A66="",B66="",C66="",NOT(ISNUMBER(D66)),NOT(ISNUMBER(E66)),F66="",G66&lt;&gt;"Sim"),"Pendente: dados ou informe","Completo"))</x:f>
      </x:c>
    </x:row>
    <x:row r="67" ht="24" customHeight="1">
      <x:c r="A67" s="7"/>
      <x:c r="B67" s="13"/>
      <x:c r="C67" s="13"/>
      <x:c r="D67" s="16"/>
      <x:c r="E67" s="16"/>
      <x:c r="F67" s="7"/>
      <x:c r="G67" s="7"/>
      <x:c r="H67" s="11" t="str">
        <x:f>IF(COUNTA(A67:G67)=0,"",IF(OR(A67="",B67="",C67="",NOT(ISNUMBER(D67)),NOT(ISNUMBER(E67)),F67="",G67&lt;&gt;"Sim"),"Pendente: dados ou informe","Completo"))</x:f>
      </x:c>
    </x:row>
    <x:row r="68" ht="24" customHeight="1">
      <x:c r="A68" s="7"/>
      <x:c r="B68" s="13"/>
      <x:c r="C68" s="13"/>
      <x:c r="D68" s="16"/>
      <x:c r="E68" s="16"/>
      <x:c r="F68" s="7"/>
      <x:c r="G68" s="7"/>
      <x:c r="H68" s="11" t="str">
        <x:f>IF(COUNTA(A68:G68)=0,"",IF(OR(A68="",B68="",C68="",NOT(ISNUMBER(D68)),NOT(ISNUMBER(E68)),F68="",G68&lt;&gt;"Sim"),"Pendente: dados ou informe","Completo"))</x:f>
      </x:c>
    </x:row>
    <x:row r="69" ht="24" customHeight="1">
      <x:c r="A69" s="7"/>
      <x:c r="B69" s="13"/>
      <x:c r="C69" s="13"/>
      <x:c r="D69" s="16"/>
      <x:c r="E69" s="16"/>
      <x:c r="F69" s="7"/>
      <x:c r="G69" s="7"/>
      <x:c r="H69" s="11" t="str">
        <x:f>IF(COUNTA(A69:G69)=0,"",IF(OR(A69="",B69="",C69="",NOT(ISNUMBER(D69)),NOT(ISNUMBER(E69)),F69="",G69&lt;&gt;"Sim"),"Pendente: dados ou informe","Completo"))</x:f>
      </x:c>
    </x:row>
    <x:row r="70" ht="24" customHeight="1">
      <x:c r="A70" s="7"/>
      <x:c r="B70" s="13"/>
      <x:c r="C70" s="13"/>
      <x:c r="D70" s="16"/>
      <x:c r="E70" s="16"/>
      <x:c r="F70" s="7"/>
      <x:c r="G70" s="7"/>
      <x:c r="H70" s="11" t="str">
        <x:f>IF(COUNTA(A70:G70)=0,"",IF(OR(A70="",B70="",C70="",NOT(ISNUMBER(D70)),NOT(ISNUMBER(E70)),F70="",G70&lt;&gt;"Sim"),"Pendente: dados ou informe","Completo"))</x:f>
      </x:c>
    </x:row>
    <x:row r="71" ht="24" customHeight="1">
      <x:c r="A71" s="7"/>
      <x:c r="B71" s="13"/>
      <x:c r="C71" s="13"/>
      <x:c r="D71" s="16"/>
      <x:c r="E71" s="16"/>
      <x:c r="F71" s="7"/>
      <x:c r="G71" s="7"/>
      <x:c r="H71" s="11" t="str">
        <x:f>IF(COUNTA(A71:G71)=0,"",IF(OR(A71="",B71="",C71="",NOT(ISNUMBER(D71)),NOT(ISNUMBER(E71)),F71="",G71&lt;&gt;"Sim"),"Pendente: dados ou informe","Completo"))</x:f>
      </x:c>
    </x:row>
    <x:row r="72" ht="24" customHeight="1">
      <x:c r="A72" s="7"/>
      <x:c r="B72" s="13"/>
      <x:c r="C72" s="13"/>
      <x:c r="D72" s="16"/>
      <x:c r="E72" s="16"/>
      <x:c r="F72" s="7"/>
      <x:c r="G72" s="7"/>
      <x:c r="H72" s="11" t="str">
        <x:f>IF(COUNTA(A72:G72)=0,"",IF(OR(A72="",B72="",C72="",NOT(ISNUMBER(D72)),NOT(ISNUMBER(E72)),F72="",G72&lt;&gt;"Sim"),"Pendente: dados ou informe","Completo"))</x:f>
      </x:c>
    </x:row>
    <x:row r="73" ht="24" customHeight="1">
      <x:c r="A73" s="7"/>
      <x:c r="B73" s="13"/>
      <x:c r="C73" s="13"/>
      <x:c r="D73" s="16"/>
      <x:c r="E73" s="16"/>
      <x:c r="F73" s="7"/>
      <x:c r="G73" s="7"/>
      <x:c r="H73" s="11" t="str">
        <x:f>IF(COUNTA(A73:G73)=0,"",IF(OR(A73="",B73="",C73="",NOT(ISNUMBER(D73)),NOT(ISNUMBER(E73)),F73="",G73&lt;&gt;"Sim"),"Pendente: dados ou informe","Completo"))</x:f>
      </x:c>
    </x:row>
    <x:row r="74" ht="24" customHeight="1">
      <x:c r="A74" s="7"/>
      <x:c r="B74" s="13"/>
      <x:c r="C74" s="13"/>
      <x:c r="D74" s="16"/>
      <x:c r="E74" s="16"/>
      <x:c r="F74" s="7"/>
      <x:c r="G74" s="7"/>
      <x:c r="H74" s="11" t="str">
        <x:f>IF(COUNTA(A74:G74)=0,"",IF(OR(A74="",B74="",C74="",NOT(ISNUMBER(D74)),NOT(ISNUMBER(E74)),F74="",G74&lt;&gt;"Sim"),"Pendente: dados ou informe","Completo"))</x:f>
      </x:c>
    </x:row>
    <x:row r="75" ht="24" customHeight="1">
      <x:c r="A75" s="7"/>
      <x:c r="B75" s="13"/>
      <x:c r="C75" s="13"/>
      <x:c r="D75" s="16"/>
      <x:c r="E75" s="16"/>
      <x:c r="F75" s="7"/>
      <x:c r="G75" s="7"/>
      <x:c r="H75" s="11" t="str">
        <x:f>IF(COUNTA(A75:G75)=0,"",IF(OR(A75="",B75="",C75="",NOT(ISNUMBER(D75)),NOT(ISNUMBER(E75)),F75="",G75&lt;&gt;"Sim"),"Pendente: dados ou informe","Completo"))</x:f>
      </x:c>
    </x:row>
    <x:row r="76" ht="24" customHeight="1">
      <x:c r="A76" s="7"/>
      <x:c r="B76" s="13"/>
      <x:c r="C76" s="13"/>
      <x:c r="D76" s="16"/>
      <x:c r="E76" s="16"/>
      <x:c r="F76" s="7"/>
      <x:c r="G76" s="7"/>
      <x:c r="H76" s="11" t="str">
        <x:f>IF(COUNTA(A76:G76)=0,"",IF(OR(A76="",B76="",C76="",NOT(ISNUMBER(D76)),NOT(ISNUMBER(E76)),F76="",G76&lt;&gt;"Sim"),"Pendente: dados ou informe","Completo"))</x:f>
      </x:c>
    </x:row>
    <x:row r="77" ht="24" customHeight="1">
      <x:c r="A77" s="7"/>
      <x:c r="B77" s="13"/>
      <x:c r="C77" s="13"/>
      <x:c r="D77" s="16"/>
      <x:c r="E77" s="16"/>
      <x:c r="F77" s="7"/>
      <x:c r="G77" s="7"/>
      <x:c r="H77" s="11" t="str">
        <x:f>IF(COUNTA(A77:G77)=0,"",IF(OR(A77="",B77="",C77="",NOT(ISNUMBER(D77)),NOT(ISNUMBER(E77)),F77="",G77&lt;&gt;"Sim"),"Pendente: dados ou informe","Completo"))</x:f>
      </x:c>
    </x:row>
    <x:row r="78" ht="24" customHeight="1">
      <x:c r="A78" s="7"/>
      <x:c r="B78" s="13"/>
      <x:c r="C78" s="13"/>
      <x:c r="D78" s="16"/>
      <x:c r="E78" s="16"/>
      <x:c r="F78" s="7"/>
      <x:c r="G78" s="7"/>
      <x:c r="H78" s="11" t="str">
        <x:f>IF(COUNTA(A78:G78)=0,"",IF(OR(A78="",B78="",C78="",NOT(ISNUMBER(D78)),NOT(ISNUMBER(E78)),F78="",G78&lt;&gt;"Sim"),"Pendente: dados ou informe","Completo"))</x:f>
      </x:c>
    </x:row>
    <x:row r="79" ht="24" customHeight="1">
      <x:c r="A79" s="7"/>
      <x:c r="B79" s="13"/>
      <x:c r="C79" s="13"/>
      <x:c r="D79" s="16"/>
      <x:c r="E79" s="16"/>
      <x:c r="F79" s="7"/>
      <x:c r="G79" s="7"/>
      <x:c r="H79" s="11" t="str">
        <x:f>IF(COUNTA(A79:G79)=0,"",IF(OR(A79="",B79="",C79="",NOT(ISNUMBER(D79)),NOT(ISNUMBER(E79)),F79="",G79&lt;&gt;"Sim"),"Pendente: dados ou informe","Completo"))</x:f>
      </x:c>
    </x:row>
    <x:row r="80" ht="24" customHeight="1">
      <x:c r="A80" s="7"/>
      <x:c r="B80" s="13"/>
      <x:c r="C80" s="13"/>
      <x:c r="D80" s="16"/>
      <x:c r="E80" s="16"/>
      <x:c r="F80" s="7"/>
      <x:c r="G80" s="7"/>
      <x:c r="H80" s="11" t="str">
        <x:f>IF(COUNTA(A80:G80)=0,"",IF(OR(A80="",B80="",C80="",NOT(ISNUMBER(D80)),NOT(ISNUMBER(E80)),F80="",G80&lt;&gt;"Sim"),"Pendente: dados ou informe","Completo"))</x:f>
      </x:c>
    </x:row>
    <x:row r="81" ht="24" customHeight="1">
      <x:c r="A81" s="7"/>
      <x:c r="B81" s="13"/>
      <x:c r="C81" s="13"/>
      <x:c r="D81" s="16"/>
      <x:c r="E81" s="16"/>
      <x:c r="F81" s="7"/>
      <x:c r="G81" s="7"/>
      <x:c r="H81" s="11" t="str">
        <x:f>IF(COUNTA(A81:G81)=0,"",IF(OR(A81="",B81="",C81="",NOT(ISNUMBER(D81)),NOT(ISNUMBER(E81)),F81="",G81&lt;&gt;"Sim"),"Pendente: dados ou informe","Completo"))</x:f>
      </x:c>
    </x:row>
    <x:row r="82" ht="24" customHeight="1">
      <x:c r="A82" s="7"/>
      <x:c r="B82" s="13"/>
      <x:c r="C82" s="13"/>
      <x:c r="D82" s="16"/>
      <x:c r="E82" s="16"/>
      <x:c r="F82" s="7"/>
      <x:c r="G82" s="7"/>
      <x:c r="H82" s="11" t="str">
        <x:f>IF(COUNTA(A82:G82)=0,"",IF(OR(A82="",B82="",C82="",NOT(ISNUMBER(D82)),NOT(ISNUMBER(E82)),F82="",G82&lt;&gt;"Sim"),"Pendente: dados ou informe","Completo"))</x:f>
      </x:c>
    </x:row>
    <x:row r="83" ht="24" customHeight="1">
      <x:c r="A83" s="7"/>
      <x:c r="B83" s="13"/>
      <x:c r="C83" s="13"/>
      <x:c r="D83" s="16"/>
      <x:c r="E83" s="16"/>
      <x:c r="F83" s="7"/>
      <x:c r="G83" s="7"/>
      <x:c r="H83" s="11" t="str">
        <x:f>IF(COUNTA(A83:G83)=0,"",IF(OR(A83="",B83="",C83="",NOT(ISNUMBER(D83)),NOT(ISNUMBER(E83)),F83="",G83&lt;&gt;"Sim"),"Pendente: dados ou informe","Completo"))</x:f>
      </x:c>
    </x:row>
    <x:row r="84" ht="24" customHeight="1">
      <x:c r="A84" s="7"/>
      <x:c r="B84" s="13"/>
      <x:c r="C84" s="13"/>
      <x:c r="D84" s="16"/>
      <x:c r="E84" s="16"/>
      <x:c r="F84" s="7"/>
      <x:c r="G84" s="7"/>
      <x:c r="H84" s="11" t="str">
        <x:f>IF(COUNTA(A84:G84)=0,"",IF(OR(A84="",B84="",C84="",NOT(ISNUMBER(D84)),NOT(ISNUMBER(E84)),F84="",G84&lt;&gt;"Sim"),"Pendente: dados ou informe","Completo"))</x:f>
      </x:c>
    </x:row>
    <x:row r="85" ht="24" customHeight="1">
      <x:c r="A85" s="7"/>
      <x:c r="B85" s="13"/>
      <x:c r="C85" s="13"/>
      <x:c r="D85" s="16"/>
      <x:c r="E85" s="16"/>
      <x:c r="F85" s="7"/>
      <x:c r="G85" s="7"/>
      <x:c r="H85" s="11" t="str">
        <x:f>IF(COUNTA(A85:G85)=0,"",IF(OR(A85="",B85="",C85="",NOT(ISNUMBER(D85)),NOT(ISNUMBER(E85)),F85="",G85&lt;&gt;"Sim"),"Pendente: dados ou informe","Completo"))</x:f>
      </x:c>
    </x:row>
    <x:row r="86" ht="24" customHeight="1">
      <x:c r="A86" s="7"/>
      <x:c r="B86" s="13"/>
      <x:c r="C86" s="13"/>
      <x:c r="D86" s="16"/>
      <x:c r="E86" s="16"/>
      <x:c r="F86" s="7"/>
      <x:c r="G86" s="7"/>
      <x:c r="H86" s="11" t="str">
        <x:f>IF(COUNTA(A86:G86)=0,"",IF(OR(A86="",B86="",C86="",NOT(ISNUMBER(D86)),NOT(ISNUMBER(E86)),F86="",G86&lt;&gt;"Sim"),"Pendente: dados ou informe","Completo"))</x:f>
      </x:c>
    </x:row>
    <x:row r="87" ht="24" customHeight="1">
      <x:c r="A87" s="7"/>
      <x:c r="B87" s="13"/>
      <x:c r="C87" s="13"/>
      <x:c r="D87" s="16"/>
      <x:c r="E87" s="16"/>
      <x:c r="F87" s="7"/>
      <x:c r="G87" s="7"/>
      <x:c r="H87" s="11" t="str">
        <x:f>IF(COUNTA(A87:G87)=0,"",IF(OR(A87="",B87="",C87="",NOT(ISNUMBER(D87)),NOT(ISNUMBER(E87)),F87="",G87&lt;&gt;"Sim"),"Pendente: dados ou informe","Completo"))</x:f>
      </x:c>
    </x:row>
    <x:row r="88" ht="24" customHeight="1">
      <x:c r="A88" s="7"/>
      <x:c r="B88" s="13"/>
      <x:c r="C88" s="13"/>
      <x:c r="D88" s="16"/>
      <x:c r="E88" s="16"/>
      <x:c r="F88" s="7"/>
      <x:c r="G88" s="7"/>
      <x:c r="H88" s="11" t="str">
        <x:f>IF(COUNTA(A88:G88)=0,"",IF(OR(A88="",B88="",C88="",NOT(ISNUMBER(D88)),NOT(ISNUMBER(E88)),F88="",G88&lt;&gt;"Sim"),"Pendente: dados ou informe","Completo"))</x:f>
      </x:c>
    </x:row>
    <x:row r="89" ht="24" customHeight="1">
      <x:c r="A89" s="7"/>
      <x:c r="B89" s="13"/>
      <x:c r="C89" s="13"/>
      <x:c r="D89" s="16"/>
      <x:c r="E89" s="16"/>
      <x:c r="F89" s="7"/>
      <x:c r="G89" s="7"/>
      <x:c r="H89" s="11" t="str">
        <x:f>IF(COUNTA(A89:G89)=0,"",IF(OR(A89="",B89="",C89="",NOT(ISNUMBER(D89)),NOT(ISNUMBER(E89)),F89="",G89&lt;&gt;"Sim"),"Pendente: dados ou informe","Completo"))</x:f>
      </x:c>
    </x:row>
    <x:row r="90" ht="24" customHeight="1">
      <x:c r="A90" s="7"/>
      <x:c r="B90" s="13"/>
      <x:c r="C90" s="13"/>
      <x:c r="D90" s="16"/>
      <x:c r="E90" s="16"/>
      <x:c r="F90" s="7"/>
      <x:c r="G90" s="7"/>
      <x:c r="H90" s="11" t="str">
        <x:f>IF(COUNTA(A90:G90)=0,"",IF(OR(A90="",B90="",C90="",NOT(ISNUMBER(D90)),NOT(ISNUMBER(E90)),F90="",G90&lt;&gt;"Sim"),"Pendente: dados ou informe","Completo"))</x:f>
      </x:c>
    </x:row>
    <x:row r="91" ht="24" customHeight="1">
      <x:c r="A91" s="7"/>
      <x:c r="B91" s="13"/>
      <x:c r="C91" s="13"/>
      <x:c r="D91" s="16"/>
      <x:c r="E91" s="16"/>
      <x:c r="F91" s="7"/>
      <x:c r="G91" s="7"/>
      <x:c r="H91" s="11" t="str">
        <x:f>IF(COUNTA(A91:G91)=0,"",IF(OR(A91="",B91="",C91="",NOT(ISNUMBER(D91)),NOT(ISNUMBER(E91)),F91="",G91&lt;&gt;"Sim"),"Pendente: dados ou informe","Completo"))</x:f>
      </x:c>
    </x:row>
    <x:row r="92" ht="24" customHeight="1">
      <x:c r="A92" s="7"/>
      <x:c r="B92" s="13"/>
      <x:c r="C92" s="13"/>
      <x:c r="D92" s="16"/>
      <x:c r="E92" s="16"/>
      <x:c r="F92" s="7"/>
      <x:c r="G92" s="7"/>
      <x:c r="H92" s="11" t="str">
        <x:f>IF(COUNTA(A92:G92)=0,"",IF(OR(A92="",B92="",C92="",NOT(ISNUMBER(D92)),NOT(ISNUMBER(E92)),F92="",G92&lt;&gt;"Sim"),"Pendente: dados ou informe","Completo"))</x:f>
      </x:c>
    </x:row>
    <x:row r="93" ht="24" customHeight="1">
      <x:c r="A93" s="7"/>
      <x:c r="B93" s="13"/>
      <x:c r="C93" s="13"/>
      <x:c r="D93" s="16"/>
      <x:c r="E93" s="16"/>
      <x:c r="F93" s="7"/>
      <x:c r="G93" s="7"/>
      <x:c r="H93" s="11" t="str">
        <x:f>IF(COUNTA(A93:G93)=0,"",IF(OR(A93="",B93="",C93="",NOT(ISNUMBER(D93)),NOT(ISNUMBER(E93)),F93="",G93&lt;&gt;"Sim"),"Pendente: dados ou informe","Completo"))</x:f>
      </x:c>
    </x:row>
    <x:row r="94" ht="24" customHeight="1">
      <x:c r="A94" s="7"/>
      <x:c r="B94" s="13"/>
      <x:c r="C94" s="13"/>
      <x:c r="D94" s="16"/>
      <x:c r="E94" s="16"/>
      <x:c r="F94" s="7"/>
      <x:c r="G94" s="7"/>
      <x:c r="H94" s="11" t="str">
        <x:f>IF(COUNTA(A94:G94)=0,"",IF(OR(A94="",B94="",C94="",NOT(ISNUMBER(D94)),NOT(ISNUMBER(E94)),F94="",G94&lt;&gt;"Sim"),"Pendente: dados ou informe","Completo"))</x:f>
      </x:c>
    </x:row>
    <x:row r="95" ht="24" customHeight="1">
      <x:c r="A95" s="7"/>
      <x:c r="B95" s="13"/>
      <x:c r="C95" s="13"/>
      <x:c r="D95" s="16"/>
      <x:c r="E95" s="16"/>
      <x:c r="F95" s="7"/>
      <x:c r="G95" s="7"/>
      <x:c r="H95" s="11" t="str">
        <x:f>IF(COUNTA(A95:G95)=0,"",IF(OR(A95="",B95="",C95="",NOT(ISNUMBER(D95)),NOT(ISNUMBER(E95)),F95="",G95&lt;&gt;"Sim"),"Pendente: dados ou informe","Completo"))</x:f>
      </x:c>
    </x:row>
    <x:row r="96" ht="24" customHeight="1">
      <x:c r="A96" s="7"/>
      <x:c r="B96" s="13"/>
      <x:c r="C96" s="13"/>
      <x:c r="D96" s="16"/>
      <x:c r="E96" s="16"/>
      <x:c r="F96" s="7"/>
      <x:c r="G96" s="7"/>
      <x:c r="H96" s="11" t="str">
        <x:f>IF(COUNTA(A96:G96)=0,"",IF(OR(A96="",B96="",C96="",NOT(ISNUMBER(D96)),NOT(ISNUMBER(E96)),F96="",G96&lt;&gt;"Sim"),"Pendente: dados ou informe","Completo"))</x:f>
      </x:c>
    </x:row>
    <x:row r="97" ht="24" customHeight="1">
      <x:c r="A97" s="7"/>
      <x:c r="B97" s="13"/>
      <x:c r="C97" s="13"/>
      <x:c r="D97" s="16"/>
      <x:c r="E97" s="16"/>
      <x:c r="F97" s="7"/>
      <x:c r="G97" s="7"/>
      <x:c r="H97" s="11" t="str">
        <x:f>IF(COUNTA(A97:G97)=0,"",IF(OR(A97="",B97="",C97="",NOT(ISNUMBER(D97)),NOT(ISNUMBER(E97)),F97="",G97&lt;&gt;"Sim"),"Pendente: dados ou informe","Completo"))</x:f>
      </x:c>
    </x:row>
    <x:row r="98" ht="24" customHeight="1">
      <x:c r="A98" s="7"/>
      <x:c r="B98" s="13"/>
      <x:c r="C98" s="13"/>
      <x:c r="D98" s="16"/>
      <x:c r="E98" s="16"/>
      <x:c r="F98" s="7"/>
      <x:c r="G98" s="7"/>
      <x:c r="H98" s="11" t="str">
        <x:f>IF(COUNTA(A98:G98)=0,"",IF(OR(A98="",B98="",C98="",NOT(ISNUMBER(D98)),NOT(ISNUMBER(E98)),F98="",G98&lt;&gt;"Sim"),"Pendente: dados ou informe","Completo"))</x:f>
      </x:c>
    </x:row>
    <x:row r="99" ht="24" customHeight="1">
      <x:c r="A99" s="7"/>
      <x:c r="B99" s="13"/>
      <x:c r="C99" s="13"/>
      <x:c r="D99" s="16"/>
      <x:c r="E99" s="16"/>
      <x:c r="F99" s="7"/>
      <x:c r="G99" s="7"/>
      <x:c r="H99" s="11" t="str">
        <x:f>IF(COUNTA(A99:G99)=0,"",IF(OR(A99="",B99="",C99="",NOT(ISNUMBER(D99)),NOT(ISNUMBER(E99)),F99="",G99&lt;&gt;"Sim"),"Pendente: dados ou informe","Completo"))</x:f>
      </x:c>
    </x:row>
    <x:row r="100" ht="24" customHeight="1">
      <x:c r="A100" s="7"/>
      <x:c r="B100" s="13"/>
      <x:c r="C100" s="13"/>
      <x:c r="D100" s="16"/>
      <x:c r="E100" s="16"/>
      <x:c r="F100" s="7"/>
      <x:c r="G100" s="7"/>
      <x:c r="H100" s="11" t="str">
        <x:f>IF(COUNTA(A100:G100)=0,"",IF(OR(A100="",B100="",C100="",NOT(ISNUMBER(D100)),NOT(ISNUMBER(E100)),F100="",G100&lt;&gt;"Sim"),"Pendente: dados ou informe","Completo"))</x:f>
      </x:c>
    </x:row>
    <x:row r="101" ht="24" customHeight="1">
      <x:c r="A101" s="7"/>
      <x:c r="B101" s="13"/>
      <x:c r="C101" s="13"/>
      <x:c r="D101" s="16"/>
      <x:c r="E101" s="16"/>
      <x:c r="F101" s="7"/>
      <x:c r="G101" s="7"/>
      <x:c r="H101" s="11" t="str">
        <x:f>IF(COUNTA(A101:G101)=0,"",IF(OR(A101="",B101="",C101="",NOT(ISNUMBER(D101)),NOT(ISNUMBER(E101)),F101="",G101&lt;&gt;"Sim"),"Pendente: dados ou informe","Completo"))</x:f>
      </x:c>
    </x:row>
    <x:row r="102" ht="24" customHeight="1">
      <x:c r="A102" s="7"/>
      <x:c r="B102" s="13"/>
      <x:c r="C102" s="13"/>
      <x:c r="D102" s="16"/>
      <x:c r="E102" s="16"/>
      <x:c r="F102" s="7"/>
      <x:c r="G102" s="7"/>
      <x:c r="H102" s="11" t="str">
        <x:f>IF(COUNTA(A102:G102)=0,"",IF(OR(A102="",B102="",C102="",NOT(ISNUMBER(D102)),NOT(ISNUMBER(E102)),F102="",G102&lt;&gt;"Sim"),"Pendente: dados ou informe","Completo"))</x:f>
      </x:c>
    </x:row>
    <x:row r="103" ht="24" customHeight="1">
      <x:c r="A103" s="7"/>
      <x:c r="B103" s="13"/>
      <x:c r="C103" s="13"/>
      <x:c r="D103" s="16"/>
      <x:c r="E103" s="16"/>
      <x:c r="F103" s="7"/>
      <x:c r="G103" s="7"/>
      <x:c r="H103" s="11" t="str">
        <x:f>IF(COUNTA(A103:G103)=0,"",IF(OR(A103="",B103="",C103="",NOT(ISNUMBER(D103)),NOT(ISNUMBER(E103)),F103="",G103&lt;&gt;"Sim"),"Pendente: dados ou informe","Completo"))</x:f>
      </x:c>
    </x:row>
    <x:row r="104" ht="24" customHeight="1">
      <x:c r="A104" s="7"/>
      <x:c r="B104" s="13"/>
      <x:c r="C104" s="13"/>
      <x:c r="D104" s="16"/>
      <x:c r="E104" s="16"/>
      <x:c r="F104" s="7"/>
      <x:c r="G104" s="7"/>
      <x:c r="H104" s="11" t="str">
        <x:f>IF(COUNTA(A104:G104)=0,"",IF(OR(A104="",B104="",C104="",NOT(ISNUMBER(D104)),NOT(ISNUMBER(E104)),F104="",G104&lt;&gt;"Sim"),"Pendente: dados ou informe","Completo"))</x:f>
      </x:c>
    </x:row>
    <x:row r="105" ht="24" customHeight="1">
      <x:c r="A105" s="7"/>
      <x:c r="B105" s="13"/>
      <x:c r="C105" s="13"/>
      <x:c r="D105" s="16"/>
      <x:c r="E105" s="16"/>
      <x:c r="F105" s="7"/>
      <x:c r="G105" s="7"/>
      <x:c r="H105" s="11" t="str">
        <x:f>IF(COUNTA(A105:G105)=0,"",IF(OR(A105="",B105="",C105="",NOT(ISNUMBER(D105)),NOT(ISNUMBER(E105)),F105="",G105&lt;&gt;"Sim"),"Pendente: dados ou informe","Completo"))</x:f>
      </x:c>
    </x:row>
    <x:row r="106" ht="24" customHeight="1">
      <x:c r="A106" s="7"/>
      <x:c r="B106" s="13"/>
      <x:c r="C106" s="13"/>
      <x:c r="D106" s="16"/>
      <x:c r="E106" s="16"/>
      <x:c r="F106" s="7"/>
      <x:c r="G106" s="7"/>
      <x:c r="H106" s="11" t="str">
        <x:f>IF(COUNTA(A106:G106)=0,"",IF(OR(A106="",B106="",C106="",NOT(ISNUMBER(D106)),NOT(ISNUMBER(E106)),F106="",G106&lt;&gt;"Sim"),"Pendente: dados ou informe","Completo"))</x:f>
      </x:c>
    </x:row>
    <x:row r="107" ht="24" customHeight="1">
      <x:c r="A107" s="7"/>
      <x:c r="B107" s="13"/>
      <x:c r="C107" s="13"/>
      <x:c r="D107" s="16"/>
      <x:c r="E107" s="16"/>
      <x:c r="F107" s="7"/>
      <x:c r="G107" s="7"/>
      <x:c r="H107" s="11" t="str">
        <x:f>IF(COUNTA(A107:G107)=0,"",IF(OR(A107="",B107="",C107="",NOT(ISNUMBER(D107)),NOT(ISNUMBER(E107)),F107="",G107&lt;&gt;"Sim"),"Pendente: dados ou informe","Completo"))</x:f>
      </x:c>
    </x:row>
    <x:row r="108" ht="24" customHeight="1">
      <x:c r="A108" s="7"/>
      <x:c r="B108" s="13"/>
      <x:c r="C108" s="13"/>
      <x:c r="D108" s="16"/>
      <x:c r="E108" s="16"/>
      <x:c r="F108" s="7"/>
      <x:c r="G108" s="7"/>
      <x:c r="H108" s="11" t="str">
        <x:f>IF(COUNTA(A108:G108)=0,"",IF(OR(A108="",B108="",C108="",NOT(ISNUMBER(D108)),NOT(ISNUMBER(E108)),F108="",G108&lt;&gt;"Sim"),"Pendente: dados ou informe","Completo"))</x:f>
      </x:c>
    </x:row>
    <x:row r="109" ht="24" customHeight="1">
      <x:c r="A109" s="7"/>
      <x:c r="B109" s="13"/>
      <x:c r="C109" s="13"/>
      <x:c r="D109" s="16"/>
      <x:c r="E109" s="16"/>
      <x:c r="F109" s="7"/>
      <x:c r="G109" s="7"/>
      <x:c r="H109" s="11" t="str">
        <x:f>IF(COUNTA(A109:G109)=0,"",IF(OR(A109="",B109="",C109="",NOT(ISNUMBER(D109)),NOT(ISNUMBER(E109)),F109="",G109&lt;&gt;"Sim"),"Pendente: dados ou informe","Completo"))</x:f>
      </x:c>
    </x:row>
    <x:row r="110" ht="24" customHeight="1">
      <x:c r="A110" s="7"/>
      <x:c r="B110" s="13"/>
      <x:c r="C110" s="13"/>
      <x:c r="D110" s="16"/>
      <x:c r="E110" s="16"/>
      <x:c r="F110" s="7"/>
      <x:c r="G110" s="7"/>
      <x:c r="H110" s="11" t="str">
        <x:f>IF(COUNTA(A110:G110)=0,"",IF(OR(A110="",B110="",C110="",NOT(ISNUMBER(D110)),NOT(ISNUMBER(E110)),F110="",G110&lt;&gt;"Sim"),"Pendente: dados ou informe","Completo"))</x:f>
      </x:c>
    </x:row>
    <x:row r="111" ht="24" customHeight="1">
      <x:c r="A111" s="7"/>
      <x:c r="B111" s="13"/>
      <x:c r="C111" s="13"/>
      <x:c r="D111" s="16"/>
      <x:c r="E111" s="16"/>
      <x:c r="F111" s="7"/>
      <x:c r="G111" s="7"/>
      <x:c r="H111" s="11" t="str">
        <x:f>IF(COUNTA(A111:G111)=0,"",IF(OR(A111="",B111="",C111="",NOT(ISNUMBER(D111)),NOT(ISNUMBER(E111)),F111="",G111&lt;&gt;"Sim"),"Pendente: dados ou informe","Completo"))</x:f>
      </x:c>
    </x:row>
    <x:row r="112" ht="24" customHeight="1">
      <x:c r="A112" s="7"/>
      <x:c r="B112" s="13"/>
      <x:c r="C112" s="13"/>
      <x:c r="D112" s="16"/>
      <x:c r="E112" s="16"/>
      <x:c r="F112" s="7"/>
      <x:c r="G112" s="7"/>
      <x:c r="H112" s="11" t="str">
        <x:f>IF(COUNTA(A112:G112)=0,"",IF(OR(A112="",B112="",C112="",NOT(ISNUMBER(D112)),NOT(ISNUMBER(E112)),F112="",G112&lt;&gt;"Sim"),"Pendente: dados ou informe","Completo"))</x:f>
      </x:c>
    </x:row>
    <x:row r="113" ht="24" customHeight="1">
      <x:c r="A113" s="7"/>
      <x:c r="B113" s="13"/>
      <x:c r="C113" s="13"/>
      <x:c r="D113" s="16"/>
      <x:c r="E113" s="16"/>
      <x:c r="F113" s="7"/>
      <x:c r="G113" s="7"/>
      <x:c r="H113" s="11" t="str">
        <x:f>IF(COUNTA(A113:G113)=0,"",IF(OR(A113="",B113="",C113="",NOT(ISNUMBER(D113)),NOT(ISNUMBER(E113)),F113="",G113&lt;&gt;"Sim"),"Pendente: dados ou informe","Completo"))</x:f>
      </x:c>
    </x:row>
    <x:row r="114" ht="24" customHeight="1">
      <x:c r="A114" s="7"/>
      <x:c r="B114" s="13"/>
      <x:c r="C114" s="13"/>
      <x:c r="D114" s="16"/>
      <x:c r="E114" s="16"/>
      <x:c r="F114" s="7"/>
      <x:c r="G114" s="7"/>
      <x:c r="H114" s="11" t="str">
        <x:f>IF(COUNTA(A114:G114)=0,"",IF(OR(A114="",B114="",C114="",NOT(ISNUMBER(D114)),NOT(ISNUMBER(E114)),F114="",G114&lt;&gt;"Sim"),"Pendente: dados ou informe","Completo"))</x:f>
      </x:c>
    </x:row>
    <x:row r="115" ht="24" customHeight="1">
      <x:c r="A115" s="7"/>
      <x:c r="B115" s="13"/>
      <x:c r="C115" s="13"/>
      <x:c r="D115" s="16"/>
      <x:c r="E115" s="16"/>
      <x:c r="F115" s="7"/>
      <x:c r="G115" s="7"/>
      <x:c r="H115" s="11" t="str">
        <x:f>IF(COUNTA(A115:G115)=0,"",IF(OR(A115="",B115="",C115="",NOT(ISNUMBER(D115)),NOT(ISNUMBER(E115)),F115="",G115&lt;&gt;"Sim"),"Pendente: dados ou informe","Completo"))</x:f>
      </x:c>
    </x:row>
    <x:row r="116" ht="24" customHeight="1">
      <x:c r="A116" s="7"/>
      <x:c r="B116" s="13"/>
      <x:c r="C116" s="13"/>
      <x:c r="D116" s="16"/>
      <x:c r="E116" s="16"/>
      <x:c r="F116" s="7"/>
      <x:c r="G116" s="7"/>
      <x:c r="H116" s="11" t="str">
        <x:f>IF(COUNTA(A116:G116)=0,"",IF(OR(A116="",B116="",C116="",NOT(ISNUMBER(D116)),NOT(ISNUMBER(E116)),F116="",G116&lt;&gt;"Sim"),"Pendente: dados ou informe","Completo"))</x:f>
      </x:c>
    </x:row>
    <x:row r="117" ht="24" customHeight="1">
      <x:c r="A117" s="7"/>
      <x:c r="B117" s="13"/>
      <x:c r="C117" s="13"/>
      <x:c r="D117" s="16"/>
      <x:c r="E117" s="16"/>
      <x:c r="F117" s="7"/>
      <x:c r="G117" s="7"/>
      <x:c r="H117" s="11" t="str">
        <x:f>IF(COUNTA(A117:G117)=0,"",IF(OR(A117="",B117="",C117="",NOT(ISNUMBER(D117)),NOT(ISNUMBER(E117)),F117="",G117&lt;&gt;"Sim"),"Pendente: dados ou informe","Completo"))</x:f>
      </x:c>
    </x:row>
    <x:row r="118" ht="24" customHeight="1">
      <x:c r="A118" s="7"/>
      <x:c r="B118" s="13"/>
      <x:c r="C118" s="13"/>
      <x:c r="D118" s="16"/>
      <x:c r="E118" s="16"/>
      <x:c r="F118" s="7"/>
      <x:c r="G118" s="7"/>
      <x:c r="H118" s="11" t="str">
        <x:f>IF(COUNTA(A118:G118)=0,"",IF(OR(A118="",B118="",C118="",NOT(ISNUMBER(D118)),NOT(ISNUMBER(E118)),F118="",G118&lt;&gt;"Sim"),"Pendente: dados ou informe","Completo"))</x:f>
      </x:c>
    </x:row>
    <x:row r="119" ht="24" customHeight="1">
      <x:c r="A119" s="7"/>
      <x:c r="B119" s="13"/>
      <x:c r="C119" s="13"/>
      <x:c r="D119" s="16"/>
      <x:c r="E119" s="16"/>
      <x:c r="F119" s="7"/>
      <x:c r="G119" s="7"/>
      <x:c r="H119" s="11" t="str">
        <x:f>IF(COUNTA(A119:G119)=0,"",IF(OR(A119="",B119="",C119="",NOT(ISNUMBER(D119)),NOT(ISNUMBER(E119)),F119="",G119&lt;&gt;"Sim"),"Pendente: dados ou informe","Completo"))</x:f>
      </x:c>
    </x:row>
    <x:row r="120" ht="24" customHeight="1">
      <x:c r="A120" s="7"/>
      <x:c r="B120" s="13"/>
      <x:c r="C120" s="13"/>
      <x:c r="D120" s="16"/>
      <x:c r="E120" s="16"/>
      <x:c r="F120" s="7"/>
      <x:c r="G120" s="7"/>
      <x:c r="H120" s="11" t="str">
        <x:f>IF(COUNTA(A120:G120)=0,"",IF(OR(A120="",B120="",C120="",NOT(ISNUMBER(D120)),NOT(ISNUMBER(E120)),F120="",G120&lt;&gt;"Sim"),"Pendente: dados ou informe","Completo"))</x:f>
      </x:c>
    </x:row>
    <x:row r="121" ht="24" customHeight="1">
      <x:c r="A121" s="7"/>
      <x:c r="B121" s="13"/>
      <x:c r="C121" s="13"/>
      <x:c r="D121" s="16"/>
      <x:c r="E121" s="16"/>
      <x:c r="F121" s="7"/>
      <x:c r="G121" s="7"/>
      <x:c r="H121" s="11" t="str">
        <x:f>IF(COUNTA(A121:G121)=0,"",IF(OR(A121="",B121="",C121="",NOT(ISNUMBER(D121)),NOT(ISNUMBER(E121)),F121="",G121&lt;&gt;"Sim"),"Pendente: dados ou informe","Completo"))</x:f>
      </x:c>
    </x:row>
    <x:row r="122" ht="24" customHeight="1">
      <x:c r="A122" s="7"/>
      <x:c r="B122" s="13"/>
      <x:c r="C122" s="13"/>
      <x:c r="D122" s="16"/>
      <x:c r="E122" s="16"/>
      <x:c r="F122" s="7"/>
      <x:c r="G122" s="7"/>
      <x:c r="H122" s="11" t="str">
        <x:f>IF(COUNTA(A122:G122)=0,"",IF(OR(A122="",B122="",C122="",NOT(ISNUMBER(D122)),NOT(ISNUMBER(E122)),F122="",G122&lt;&gt;"Sim"),"Pendente: dados ou informe","Completo"))</x:f>
      </x:c>
    </x:row>
    <x:row r="123" ht="24" customHeight="1">
      <x:c r="A123" s="7"/>
      <x:c r="B123" s="13"/>
      <x:c r="C123" s="13"/>
      <x:c r="D123" s="16"/>
      <x:c r="E123" s="16"/>
      <x:c r="F123" s="7"/>
      <x:c r="G123" s="7"/>
      <x:c r="H123" s="11" t="str">
        <x:f>IF(COUNTA(A123:G123)=0,"",IF(OR(A123="",B123="",C123="",NOT(ISNUMBER(D123)),NOT(ISNUMBER(E123)),F123="",G123&lt;&gt;"Sim"),"Pendente: dados ou informe","Completo"))</x:f>
      </x:c>
    </x:row>
    <x:row r="124" ht="24" customHeight="1">
      <x:c r="A124" s="7"/>
      <x:c r="B124" s="13"/>
      <x:c r="C124" s="13"/>
      <x:c r="D124" s="16"/>
      <x:c r="E124" s="16"/>
      <x:c r="F124" s="7"/>
      <x:c r="G124" s="7"/>
      <x:c r="H124" s="11" t="str">
        <x:f>IF(COUNTA(A124:G124)=0,"",IF(OR(A124="",B124="",C124="",NOT(ISNUMBER(D124)),NOT(ISNUMBER(E124)),F124="",G124&lt;&gt;"Sim"),"Pendente: dados ou informe","Completo"))</x:f>
      </x:c>
    </x:row>
    <x:row r="125" ht="24" customHeight="1">
      <x:c r="A125" s="7"/>
      <x:c r="B125" s="13"/>
      <x:c r="C125" s="13"/>
      <x:c r="D125" s="16"/>
      <x:c r="E125" s="16"/>
      <x:c r="F125" s="7"/>
      <x:c r="G125" s="7"/>
      <x:c r="H125" s="11" t="str">
        <x:f>IF(COUNTA(A125:G125)=0,"",IF(OR(A125="",B125="",C125="",NOT(ISNUMBER(D125)),NOT(ISNUMBER(E125)),F125="",G125&lt;&gt;"Sim"),"Pendente: dados ou informe","Completo"))</x:f>
      </x:c>
    </x:row>
    <x:row r="126" ht="24" customHeight="1">
      <x:c r="A126" s="7"/>
      <x:c r="B126" s="13"/>
      <x:c r="C126" s="13"/>
      <x:c r="D126" s="16"/>
      <x:c r="E126" s="16"/>
      <x:c r="F126" s="7"/>
      <x:c r="G126" s="7"/>
      <x:c r="H126" s="11" t="str">
        <x:f>IF(COUNTA(A126:G126)=0,"",IF(OR(A126="",B126="",C126="",NOT(ISNUMBER(D126)),NOT(ISNUMBER(E126)),F126="",G126&lt;&gt;"Sim"),"Pendente: dados ou informe","Completo"))</x:f>
      </x:c>
    </x:row>
    <x:row r="127" ht="24" customHeight="1">
      <x:c r="A127" s="7"/>
      <x:c r="B127" s="13"/>
      <x:c r="C127" s="13"/>
      <x:c r="D127" s="16"/>
      <x:c r="E127" s="16"/>
      <x:c r="F127" s="7"/>
      <x:c r="G127" s="7"/>
      <x:c r="H127" s="11" t="str">
        <x:f>IF(COUNTA(A127:G127)=0,"",IF(OR(A127="",B127="",C127="",NOT(ISNUMBER(D127)),NOT(ISNUMBER(E127)),F127="",G127&lt;&gt;"Sim"),"Pendente: dados ou informe","Completo"))</x:f>
      </x:c>
    </x:row>
    <x:row r="128" ht="24" customHeight="1">
      <x:c r="A128" s="7"/>
      <x:c r="B128" s="13"/>
      <x:c r="C128" s="13"/>
      <x:c r="D128" s="16"/>
      <x:c r="E128" s="16"/>
      <x:c r="F128" s="7"/>
      <x:c r="G128" s="7"/>
      <x:c r="H128" s="11" t="str">
        <x:f>IF(COUNTA(A128:G128)=0,"",IF(OR(A128="",B128="",C128="",NOT(ISNUMBER(D128)),NOT(ISNUMBER(E128)),F128="",G128&lt;&gt;"Sim"),"Pendente: dados ou informe","Completo"))</x:f>
      </x:c>
    </x:row>
    <x:row r="129" ht="24" customHeight="1">
      <x:c r="A129" s="7"/>
      <x:c r="B129" s="13"/>
      <x:c r="C129" s="13"/>
      <x:c r="D129" s="16"/>
      <x:c r="E129" s="16"/>
      <x:c r="F129" s="7"/>
      <x:c r="G129" s="7"/>
      <x:c r="H129" s="11" t="str">
        <x:f>IF(COUNTA(A129:G129)=0,"",IF(OR(A129="",B129="",C129="",NOT(ISNUMBER(D129)),NOT(ISNUMBER(E129)),F129="",G129&lt;&gt;"Sim"),"Pendente: dados ou informe","Completo"))</x:f>
      </x:c>
    </x:row>
    <x:row r="130" ht="24" customHeight="1">
      <x:c r="A130" s="7"/>
      <x:c r="B130" s="13"/>
      <x:c r="C130" s="13"/>
      <x:c r="D130" s="16"/>
      <x:c r="E130" s="16"/>
      <x:c r="F130" s="7"/>
      <x:c r="G130" s="7"/>
      <x:c r="H130" s="11" t="str">
        <x:f>IF(COUNTA(A130:G130)=0,"",IF(OR(A130="",B130="",C130="",NOT(ISNUMBER(D130)),NOT(ISNUMBER(E130)),F130="",G130&lt;&gt;"Sim"),"Pendente: dados ou informe","Completo"))</x:f>
      </x:c>
    </x:row>
    <x:row r="131" ht="24" customHeight="1">
      <x:c r="A131" s="7"/>
      <x:c r="B131" s="13"/>
      <x:c r="C131" s="13"/>
      <x:c r="D131" s="16"/>
      <x:c r="E131" s="16"/>
      <x:c r="F131" s="7"/>
      <x:c r="G131" s="7"/>
      <x:c r="H131" s="11" t="str">
        <x:f>IF(COUNTA(A131:G131)=0,"",IF(OR(A131="",B131="",C131="",NOT(ISNUMBER(D131)),NOT(ISNUMBER(E131)),F131="",G131&lt;&gt;"Sim"),"Pendente: dados ou informe","Completo"))</x:f>
      </x:c>
    </x:row>
    <x:row r="132" ht="24" customHeight="1">
      <x:c r="A132" s="7"/>
      <x:c r="B132" s="13"/>
      <x:c r="C132" s="13"/>
      <x:c r="D132" s="16"/>
      <x:c r="E132" s="16"/>
      <x:c r="F132" s="7"/>
      <x:c r="G132" s="7"/>
      <x:c r="H132" s="11" t="str">
        <x:f>IF(COUNTA(A132:G132)=0,"",IF(OR(A132="",B132="",C132="",NOT(ISNUMBER(D132)),NOT(ISNUMBER(E132)),F132="",G132&lt;&gt;"Sim"),"Pendente: dados ou informe","Completo"))</x:f>
      </x:c>
    </x:row>
    <x:row r="133" ht="24" customHeight="1">
      <x:c r="A133" s="7"/>
      <x:c r="B133" s="13"/>
      <x:c r="C133" s="13"/>
      <x:c r="D133" s="16"/>
      <x:c r="E133" s="16"/>
      <x:c r="F133" s="7"/>
      <x:c r="G133" s="7"/>
      <x:c r="H133" s="11" t="str">
        <x:f>IF(COUNTA(A133:G133)=0,"",IF(OR(A133="",B133="",C133="",NOT(ISNUMBER(D133)),NOT(ISNUMBER(E133)),F133="",G133&lt;&gt;"Sim"),"Pendente: dados ou informe","Completo"))</x:f>
      </x:c>
    </x:row>
    <x:row r="134" ht="24" customHeight="1">
      <x:c r="A134" s="7"/>
      <x:c r="B134" s="13"/>
      <x:c r="C134" s="13"/>
      <x:c r="D134" s="16"/>
      <x:c r="E134" s="16"/>
      <x:c r="F134" s="7"/>
      <x:c r="G134" s="7"/>
      <x:c r="H134" s="11" t="str">
        <x:f>IF(COUNTA(A134:G134)=0,"",IF(OR(A134="",B134="",C134="",NOT(ISNUMBER(D134)),NOT(ISNUMBER(E134)),F134="",G134&lt;&gt;"Sim"),"Pendente: dados ou informe","Completo"))</x:f>
      </x:c>
    </x:row>
    <x:row r="135" ht="24" customHeight="1">
      <x:c r="A135" s="7"/>
      <x:c r="B135" s="13"/>
      <x:c r="C135" s="13"/>
      <x:c r="D135" s="16"/>
      <x:c r="E135" s="16"/>
      <x:c r="F135" s="7"/>
      <x:c r="G135" s="7"/>
      <x:c r="H135" s="11" t="str">
        <x:f>IF(COUNTA(A135:G135)=0,"",IF(OR(A135="",B135="",C135="",NOT(ISNUMBER(D135)),NOT(ISNUMBER(E135)),F135="",G135&lt;&gt;"Sim"),"Pendente: dados ou informe","Completo"))</x:f>
      </x:c>
    </x:row>
    <x:row r="136" ht="24" customHeight="1">
      <x:c r="A136" s="7"/>
      <x:c r="B136" s="13"/>
      <x:c r="C136" s="13"/>
      <x:c r="D136" s="16"/>
      <x:c r="E136" s="16"/>
      <x:c r="F136" s="7"/>
      <x:c r="G136" s="7"/>
      <x:c r="H136" s="11" t="str">
        <x:f>IF(COUNTA(A136:G136)=0,"",IF(OR(A136="",B136="",C136="",NOT(ISNUMBER(D136)),NOT(ISNUMBER(E136)),F136="",G136&lt;&gt;"Sim"),"Pendente: dados ou informe","Completo"))</x:f>
      </x:c>
    </x:row>
    <x:row r="137" ht="24" customHeight="1">
      <x:c r="A137" s="7"/>
      <x:c r="B137" s="13"/>
      <x:c r="C137" s="13"/>
      <x:c r="D137" s="16"/>
      <x:c r="E137" s="16"/>
      <x:c r="F137" s="7"/>
      <x:c r="G137" s="7"/>
      <x:c r="H137" s="11" t="str">
        <x:f>IF(COUNTA(A137:G137)=0,"",IF(OR(A137="",B137="",C137="",NOT(ISNUMBER(D137)),NOT(ISNUMBER(E137)),F137="",G137&lt;&gt;"Sim"),"Pendente: dados ou informe","Completo"))</x:f>
      </x:c>
    </x:row>
    <x:row r="138" ht="24" customHeight="1">
      <x:c r="A138" s="7"/>
      <x:c r="B138" s="13"/>
      <x:c r="C138" s="13"/>
      <x:c r="D138" s="16"/>
      <x:c r="E138" s="16"/>
      <x:c r="F138" s="7"/>
      <x:c r="G138" s="7"/>
      <x:c r="H138" s="11" t="str">
        <x:f>IF(COUNTA(A138:G138)=0,"",IF(OR(A138="",B138="",C138="",NOT(ISNUMBER(D138)),NOT(ISNUMBER(E138)),F138="",G138&lt;&gt;"Sim"),"Pendente: dados ou informe","Completo"))</x:f>
      </x:c>
    </x:row>
    <x:row r="139" ht="24" customHeight="1">
      <x:c r="A139" s="7"/>
      <x:c r="B139" s="13"/>
      <x:c r="C139" s="13"/>
      <x:c r="D139" s="16"/>
      <x:c r="E139" s="16"/>
      <x:c r="F139" s="7"/>
      <x:c r="G139" s="7"/>
      <x:c r="H139" s="11" t="str">
        <x:f>IF(COUNTA(A139:G139)=0,"",IF(OR(A139="",B139="",C139="",NOT(ISNUMBER(D139)),NOT(ISNUMBER(E139)),F139="",G139&lt;&gt;"Sim"),"Pendente: dados ou informe","Completo"))</x:f>
      </x:c>
    </x:row>
    <x:row r="140" ht="24" customHeight="1">
      <x:c r="A140" s="7"/>
      <x:c r="B140" s="13"/>
      <x:c r="C140" s="13"/>
      <x:c r="D140" s="16"/>
      <x:c r="E140" s="16"/>
      <x:c r="F140" s="7"/>
      <x:c r="G140" s="7"/>
      <x:c r="H140" s="11" t="str">
        <x:f>IF(COUNTA(A140:G140)=0,"",IF(OR(A140="",B140="",C140="",NOT(ISNUMBER(D140)),NOT(ISNUMBER(E140)),F140="",G140&lt;&gt;"Sim"),"Pendente: dados ou informe","Completo"))</x:f>
      </x:c>
    </x:row>
    <x:row r="141" ht="24" customHeight="1">
      <x:c r="A141" s="7"/>
      <x:c r="B141" s="13"/>
      <x:c r="C141" s="13"/>
      <x:c r="D141" s="16"/>
      <x:c r="E141" s="16"/>
      <x:c r="F141" s="7"/>
      <x:c r="G141" s="7"/>
      <x:c r="H141" s="11" t="str">
        <x:f>IF(COUNTA(A141:G141)=0,"",IF(OR(A141="",B141="",C141="",NOT(ISNUMBER(D141)),NOT(ISNUMBER(E141)),F141="",G141&lt;&gt;"Sim"),"Pendente: dados ou informe","Completo"))</x:f>
      </x:c>
    </x:row>
    <x:row r="142" ht="24" customHeight="1">
      <x:c r="A142" s="7"/>
      <x:c r="B142" s="13"/>
      <x:c r="C142" s="13"/>
      <x:c r="D142" s="16"/>
      <x:c r="E142" s="16"/>
      <x:c r="F142" s="7"/>
      <x:c r="G142" s="7"/>
      <x:c r="H142" s="11" t="str">
        <x:f>IF(COUNTA(A142:G142)=0,"",IF(OR(A142="",B142="",C142="",NOT(ISNUMBER(D142)),NOT(ISNUMBER(E142)),F142="",G142&lt;&gt;"Sim"),"Pendente: dados ou informe","Completo"))</x:f>
      </x:c>
    </x:row>
    <x:row r="143" ht="24" customHeight="1">
      <x:c r="A143" s="7"/>
      <x:c r="B143" s="13"/>
      <x:c r="C143" s="13"/>
      <x:c r="D143" s="16"/>
      <x:c r="E143" s="16"/>
      <x:c r="F143" s="7"/>
      <x:c r="G143" s="7"/>
      <x:c r="H143" s="11" t="str">
        <x:f>IF(COUNTA(A143:G143)=0,"",IF(OR(A143="",B143="",C143="",NOT(ISNUMBER(D143)),NOT(ISNUMBER(E143)),F143="",G143&lt;&gt;"Sim"),"Pendente: dados ou informe","Completo"))</x:f>
      </x:c>
    </x:row>
    <x:row r="144" ht="24" customHeight="1">
      <x:c r="A144" s="7"/>
      <x:c r="B144" s="13"/>
      <x:c r="C144" s="13"/>
      <x:c r="D144" s="16"/>
      <x:c r="E144" s="16"/>
      <x:c r="F144" s="7"/>
      <x:c r="G144" s="7"/>
      <x:c r="H144" s="11" t="str">
        <x:f>IF(COUNTA(A144:G144)=0,"",IF(OR(A144="",B144="",C144="",NOT(ISNUMBER(D144)),NOT(ISNUMBER(E144)),F144="",G144&lt;&gt;"Sim"),"Pendente: dados ou informe","Completo"))</x:f>
      </x:c>
    </x:row>
    <x:row r="145" ht="24" customHeight="1">
      <x:c r="A145" s="7"/>
      <x:c r="B145" s="13"/>
      <x:c r="C145" s="13"/>
      <x:c r="D145" s="16"/>
      <x:c r="E145" s="16"/>
      <x:c r="F145" s="7"/>
      <x:c r="G145" s="7"/>
      <x:c r="H145" s="11" t="str">
        <x:f>IF(COUNTA(A145:G145)=0,"",IF(OR(A145="",B145="",C145="",NOT(ISNUMBER(D145)),NOT(ISNUMBER(E145)),F145="",G145&lt;&gt;"Sim"),"Pendente: dados ou informe","Completo"))</x:f>
      </x:c>
    </x:row>
    <x:row r="146" ht="24" customHeight="1">
      <x:c r="A146" s="7"/>
      <x:c r="B146" s="13"/>
      <x:c r="C146" s="13"/>
      <x:c r="D146" s="16"/>
      <x:c r="E146" s="16"/>
      <x:c r="F146" s="7"/>
      <x:c r="G146" s="7"/>
      <x:c r="H146" s="11" t="str">
        <x:f>IF(COUNTA(A146:G146)=0,"",IF(OR(A146="",B146="",C146="",NOT(ISNUMBER(D146)),NOT(ISNUMBER(E146)),F146="",G146&lt;&gt;"Sim"),"Pendente: dados ou informe","Completo"))</x:f>
      </x:c>
    </x:row>
    <x:row r="147" ht="24" customHeight="1">
      <x:c r="A147" s="7"/>
      <x:c r="B147" s="13"/>
      <x:c r="C147" s="13"/>
      <x:c r="D147" s="16"/>
      <x:c r="E147" s="16"/>
      <x:c r="F147" s="7"/>
      <x:c r="G147" s="7"/>
      <x:c r="H147" s="11" t="str">
        <x:f>IF(COUNTA(A147:G147)=0,"",IF(OR(A147="",B147="",C147="",NOT(ISNUMBER(D147)),NOT(ISNUMBER(E147)),F147="",G147&lt;&gt;"Sim"),"Pendente: dados ou informe","Completo"))</x:f>
      </x:c>
    </x:row>
    <x:row r="148" ht="24" customHeight="1">
      <x:c r="A148" s="7"/>
      <x:c r="B148" s="13"/>
      <x:c r="C148" s="13"/>
      <x:c r="D148" s="16"/>
      <x:c r="E148" s="16"/>
      <x:c r="F148" s="7"/>
      <x:c r="G148" s="7"/>
      <x:c r="H148" s="11" t="str">
        <x:f>IF(COUNTA(A148:G148)=0,"",IF(OR(A148="",B148="",C148="",NOT(ISNUMBER(D148)),NOT(ISNUMBER(E148)),F148="",G148&lt;&gt;"Sim"),"Pendente: dados ou informe","Completo"))</x:f>
      </x:c>
    </x:row>
    <x:row r="149" ht="24" customHeight="1">
      <x:c r="A149" s="7"/>
      <x:c r="B149" s="13"/>
      <x:c r="C149" s="13"/>
      <x:c r="D149" s="16"/>
      <x:c r="E149" s="16"/>
      <x:c r="F149" s="7"/>
      <x:c r="G149" s="7"/>
      <x:c r="H149" s="11" t="str">
        <x:f>IF(COUNTA(A149:G149)=0,"",IF(OR(A149="",B149="",C149="",NOT(ISNUMBER(D149)),NOT(ISNUMBER(E149)),F149="",G149&lt;&gt;"Sim"),"Pendente: dados ou informe","Completo"))</x:f>
      </x:c>
    </x:row>
    <x:row r="150" ht="24" customHeight="1">
      <x:c r="A150" s="7"/>
      <x:c r="B150" s="13"/>
      <x:c r="C150" s="13"/>
      <x:c r="D150" s="16"/>
      <x:c r="E150" s="16"/>
      <x:c r="F150" s="7"/>
      <x:c r="G150" s="7"/>
      <x:c r="H150" s="11" t="str">
        <x:f>IF(COUNTA(A150:G150)=0,"",IF(OR(A150="",B150="",C150="",NOT(ISNUMBER(D150)),NOT(ISNUMBER(E150)),F150="",G150&lt;&gt;"Sim"),"Pendente: dados ou informe","Completo"))</x:f>
      </x:c>
    </x:row>
    <x:row r="151" ht="24" customHeight="1">
      <x:c r="A151" s="7"/>
      <x:c r="B151" s="13"/>
      <x:c r="C151" s="13"/>
      <x:c r="D151" s="16"/>
      <x:c r="E151" s="16"/>
      <x:c r="F151" s="7"/>
      <x:c r="G151" s="7"/>
      <x:c r="H151" s="11" t="str">
        <x:f>IF(COUNTA(A151:G151)=0,"",IF(OR(A151="",B151="",C151="",NOT(ISNUMBER(D151)),NOT(ISNUMBER(E151)),F151="",G151&lt;&gt;"Sim"),"Pendente: dados ou informe","Completo"))</x:f>
      </x:c>
    </x:row>
    <x:row r="152" ht="24" customHeight="1">
      <x:c r="A152" s="7"/>
      <x:c r="B152" s="13"/>
      <x:c r="C152" s="13"/>
      <x:c r="D152" s="16"/>
      <x:c r="E152" s="16"/>
      <x:c r="F152" s="7"/>
      <x:c r="G152" s="7"/>
      <x:c r="H152" s="11" t="str">
        <x:f>IF(COUNTA(A152:G152)=0,"",IF(OR(A152="",B152="",C152="",NOT(ISNUMBER(D152)),NOT(ISNUMBER(E152)),F152="",G152&lt;&gt;"Sim"),"Pendente: dados ou informe","Completo"))</x:f>
      </x:c>
    </x:row>
    <x:row r="153" ht="24" customHeight="1">
      <x:c r="A153" s="7"/>
      <x:c r="B153" s="13"/>
      <x:c r="C153" s="13"/>
      <x:c r="D153" s="16"/>
      <x:c r="E153" s="16"/>
      <x:c r="F153" s="7"/>
      <x:c r="G153" s="7"/>
      <x:c r="H153" s="11" t="str">
        <x:f>IF(COUNTA(A153:G153)=0,"",IF(OR(A153="",B153="",C153="",NOT(ISNUMBER(D153)),NOT(ISNUMBER(E153)),F153="",G153&lt;&gt;"Sim"),"Pendente: dados ou informe","Completo"))</x:f>
      </x:c>
    </x:row>
    <x:row r="154" ht="24" customHeight="1">
      <x:c r="A154" s="7"/>
      <x:c r="B154" s="13"/>
      <x:c r="C154" s="13"/>
      <x:c r="D154" s="16"/>
      <x:c r="E154" s="16"/>
      <x:c r="F154" s="7"/>
      <x:c r="G154" s="7"/>
      <x:c r="H154" s="11" t="str">
        <x:f>IF(COUNTA(A154:G154)=0,"",IF(OR(A154="",B154="",C154="",NOT(ISNUMBER(D154)),NOT(ISNUMBER(E154)),F154="",G154&lt;&gt;"Sim"),"Pendente: dados ou informe","Completo"))</x:f>
      </x:c>
    </x:row>
    <x:row r="155" ht="24" customHeight="1">
      <x:c r="A155" s="7"/>
      <x:c r="B155" s="13"/>
      <x:c r="C155" s="13"/>
      <x:c r="D155" s="16"/>
      <x:c r="E155" s="16"/>
      <x:c r="F155" s="7"/>
      <x:c r="G155" s="7"/>
      <x:c r="H155" s="11" t="str">
        <x:f>IF(COUNTA(A155:G155)=0,"",IF(OR(A155="",B155="",C155="",NOT(ISNUMBER(D155)),NOT(ISNUMBER(E155)),F155="",G155&lt;&gt;"Sim"),"Pendente: dados ou informe","Completo"))</x:f>
      </x:c>
    </x:row>
    <x:row r="156" ht="24" customHeight="1">
      <x:c r="A156" s="7"/>
      <x:c r="B156" s="13"/>
      <x:c r="C156" s="13"/>
      <x:c r="D156" s="16"/>
      <x:c r="E156" s="16"/>
      <x:c r="F156" s="7"/>
      <x:c r="G156" s="7"/>
      <x:c r="H156" s="11" t="str">
        <x:f>IF(COUNTA(A156:G156)=0,"",IF(OR(A156="",B156="",C156="",NOT(ISNUMBER(D156)),NOT(ISNUMBER(E156)),F156="",G156&lt;&gt;"Sim"),"Pendente: dados ou informe","Completo"))</x:f>
      </x:c>
    </x:row>
    <x:row r="157" ht="24" customHeight="1">
      <x:c r="A157" s="7"/>
      <x:c r="B157" s="13"/>
      <x:c r="C157" s="13"/>
      <x:c r="D157" s="16"/>
      <x:c r="E157" s="16"/>
      <x:c r="F157" s="7"/>
      <x:c r="G157" s="7"/>
      <x:c r="H157" s="11" t="str">
        <x:f>IF(COUNTA(A157:G157)=0,"",IF(OR(A157="",B157="",C157="",NOT(ISNUMBER(D157)),NOT(ISNUMBER(E157)),F157="",G157&lt;&gt;"Sim"),"Pendente: dados ou informe","Completo"))</x:f>
      </x:c>
    </x:row>
    <x:row r="158" ht="24" customHeight="1">
      <x:c r="A158" s="7"/>
      <x:c r="B158" s="13"/>
      <x:c r="C158" s="13"/>
      <x:c r="D158" s="16"/>
      <x:c r="E158" s="16"/>
      <x:c r="F158" s="7"/>
      <x:c r="G158" s="7"/>
      <x:c r="H158" s="11" t="str">
        <x:f>IF(COUNTA(A158:G158)=0,"",IF(OR(A158="",B158="",C158="",NOT(ISNUMBER(D158)),NOT(ISNUMBER(E158)),F158="",G158&lt;&gt;"Sim"),"Pendente: dados ou informe","Completo"))</x:f>
      </x:c>
    </x:row>
    <x:row r="159" ht="24" customHeight="1">
      <x:c r="A159" s="7"/>
      <x:c r="B159" s="13"/>
      <x:c r="C159" s="13"/>
      <x:c r="D159" s="16"/>
      <x:c r="E159" s="16"/>
      <x:c r="F159" s="7"/>
      <x:c r="G159" s="7"/>
      <x:c r="H159" s="11" t="str">
        <x:f>IF(COUNTA(A159:G159)=0,"",IF(OR(A159="",B159="",C159="",NOT(ISNUMBER(D159)),NOT(ISNUMBER(E159)),F159="",G159&lt;&gt;"Sim"),"Pendente: dados ou informe","Completo"))</x:f>
      </x:c>
    </x:row>
    <x:row r="160" ht="24" customHeight="1">
      <x:c r="A160" s="7"/>
      <x:c r="B160" s="13"/>
      <x:c r="C160" s="13"/>
      <x:c r="D160" s="16"/>
      <x:c r="E160" s="16"/>
      <x:c r="F160" s="7"/>
      <x:c r="G160" s="7"/>
      <x:c r="H160" s="11" t="str">
        <x:f>IF(COUNTA(A160:G160)=0,"",IF(OR(A160="",B160="",C160="",NOT(ISNUMBER(D160)),NOT(ISNUMBER(E160)),F160="",G160&lt;&gt;"Sim"),"Pendente: dados ou informe","Completo"))</x:f>
      </x:c>
    </x:row>
    <x:row r="161" ht="24" customHeight="1">
      <x:c r="A161" s="7"/>
      <x:c r="B161" s="13"/>
      <x:c r="C161" s="13"/>
      <x:c r="D161" s="16"/>
      <x:c r="E161" s="16"/>
      <x:c r="F161" s="7"/>
      <x:c r="G161" s="7"/>
      <x:c r="H161" s="11" t="str">
        <x:f>IF(COUNTA(A161:G161)=0,"",IF(OR(A161="",B161="",C161="",NOT(ISNUMBER(D161)),NOT(ISNUMBER(E161)),F161="",G161&lt;&gt;"Sim"),"Pendente: dados ou informe","Completo"))</x:f>
      </x:c>
    </x:row>
    <x:row r="162" ht="24" customHeight="1">
      <x:c r="A162" s="7"/>
      <x:c r="B162" s="13"/>
      <x:c r="C162" s="13"/>
      <x:c r="D162" s="16"/>
      <x:c r="E162" s="16"/>
      <x:c r="F162" s="7"/>
      <x:c r="G162" s="7"/>
      <x:c r="H162" s="11" t="str">
        <x:f>IF(COUNTA(A162:G162)=0,"",IF(OR(A162="",B162="",C162="",NOT(ISNUMBER(D162)),NOT(ISNUMBER(E162)),F162="",G162&lt;&gt;"Sim"),"Pendente: dados ou informe","Completo"))</x:f>
      </x:c>
    </x:row>
    <x:row r="163" ht="24" customHeight="1">
      <x:c r="A163" s="7"/>
      <x:c r="B163" s="13"/>
      <x:c r="C163" s="13"/>
      <x:c r="D163" s="16"/>
      <x:c r="E163" s="16"/>
      <x:c r="F163" s="7"/>
      <x:c r="G163" s="7"/>
      <x:c r="H163" s="11" t="str">
        <x:f>IF(COUNTA(A163:G163)=0,"",IF(OR(A163="",B163="",C163="",NOT(ISNUMBER(D163)),NOT(ISNUMBER(E163)),F163="",G163&lt;&gt;"Sim"),"Pendente: dados ou informe","Completo"))</x:f>
      </x:c>
    </x:row>
    <x:row r="164" ht="24" customHeight="1">
      <x:c r="A164" s="7"/>
      <x:c r="B164" s="13"/>
      <x:c r="C164" s="13"/>
      <x:c r="D164" s="16"/>
      <x:c r="E164" s="16"/>
      <x:c r="F164" s="7"/>
      <x:c r="G164" s="7"/>
      <x:c r="H164" s="11" t="str">
        <x:f>IF(COUNTA(A164:G164)=0,"",IF(OR(A164="",B164="",C164="",NOT(ISNUMBER(D164)),NOT(ISNUMBER(E164)),F164="",G164&lt;&gt;"Sim"),"Pendente: dados ou informe","Completo"))</x:f>
      </x:c>
    </x:row>
    <x:row r="165" ht="24" customHeight="1">
      <x:c r="A165" s="7"/>
      <x:c r="B165" s="13"/>
      <x:c r="C165" s="13"/>
      <x:c r="D165" s="16"/>
      <x:c r="E165" s="16"/>
      <x:c r="F165" s="7"/>
      <x:c r="G165" s="7"/>
      <x:c r="H165" s="11" t="str">
        <x:f>IF(COUNTA(A165:G165)=0,"",IF(OR(A165="",B165="",C165="",NOT(ISNUMBER(D165)),NOT(ISNUMBER(E165)),F165="",G165&lt;&gt;"Sim"),"Pendente: dados ou informe","Completo"))</x:f>
      </x:c>
    </x:row>
    <x:row r="166" ht="24" customHeight="1">
      <x:c r="A166" s="7"/>
      <x:c r="B166" s="13"/>
      <x:c r="C166" s="13"/>
      <x:c r="D166" s="16"/>
      <x:c r="E166" s="16"/>
      <x:c r="F166" s="7"/>
      <x:c r="G166" s="7"/>
      <x:c r="H166" s="11" t="str">
        <x:f>IF(COUNTA(A166:G166)=0,"",IF(OR(A166="",B166="",C166="",NOT(ISNUMBER(D166)),NOT(ISNUMBER(E166)),F166="",G166&lt;&gt;"Sim"),"Pendente: dados ou informe","Completo"))</x:f>
      </x:c>
    </x:row>
    <x:row r="167" ht="24" customHeight="1">
      <x:c r="A167" s="7"/>
      <x:c r="B167" s="13"/>
      <x:c r="C167" s="13"/>
      <x:c r="D167" s="16"/>
      <x:c r="E167" s="16"/>
      <x:c r="F167" s="7"/>
      <x:c r="G167" s="7"/>
      <x:c r="H167" s="11" t="str">
        <x:f>IF(COUNTA(A167:G167)=0,"",IF(OR(A167="",B167="",C167="",NOT(ISNUMBER(D167)),NOT(ISNUMBER(E167)),F167="",G167&lt;&gt;"Sim"),"Pendente: dados ou informe","Completo"))</x:f>
      </x:c>
    </x:row>
    <x:row r="168" ht="24" customHeight="1">
      <x:c r="A168" s="7"/>
      <x:c r="B168" s="13"/>
      <x:c r="C168" s="13"/>
      <x:c r="D168" s="16"/>
      <x:c r="E168" s="16"/>
      <x:c r="F168" s="7"/>
      <x:c r="G168" s="7"/>
      <x:c r="H168" s="11" t="str">
        <x:f>IF(COUNTA(A168:G168)=0,"",IF(OR(A168="",B168="",C168="",NOT(ISNUMBER(D168)),NOT(ISNUMBER(E168)),F168="",G168&lt;&gt;"Sim"),"Pendente: dados ou informe","Completo"))</x:f>
      </x:c>
    </x:row>
    <x:row r="169" ht="24" customHeight="1">
      <x:c r="A169" s="7"/>
      <x:c r="B169" s="13"/>
      <x:c r="C169" s="13"/>
      <x:c r="D169" s="16"/>
      <x:c r="E169" s="16"/>
      <x:c r="F169" s="7"/>
      <x:c r="G169" s="7"/>
      <x:c r="H169" s="11" t="str">
        <x:f>IF(COUNTA(A169:G169)=0,"",IF(OR(A169="",B169="",C169="",NOT(ISNUMBER(D169)),NOT(ISNUMBER(E169)),F169="",G169&lt;&gt;"Sim"),"Pendente: dados ou informe","Completo"))</x:f>
      </x:c>
    </x:row>
    <x:row r="170" ht="24" customHeight="1">
      <x:c r="A170" s="7"/>
      <x:c r="B170" s="13"/>
      <x:c r="C170" s="13"/>
      <x:c r="D170" s="16"/>
      <x:c r="E170" s="16"/>
      <x:c r="F170" s="7"/>
      <x:c r="G170" s="7"/>
      <x:c r="H170" s="11" t="str">
        <x:f>IF(COUNTA(A170:G170)=0,"",IF(OR(A170="",B170="",C170="",NOT(ISNUMBER(D170)),NOT(ISNUMBER(E170)),F170="",G170&lt;&gt;"Sim"),"Pendente: dados ou informe","Completo"))</x:f>
      </x:c>
    </x:row>
    <x:row r="171" ht="24" customHeight="1">
      <x:c r="A171" s="7"/>
      <x:c r="B171" s="13"/>
      <x:c r="C171" s="13"/>
      <x:c r="D171" s="16"/>
      <x:c r="E171" s="16"/>
      <x:c r="F171" s="7"/>
      <x:c r="G171" s="7"/>
      <x:c r="H171" s="11" t="str">
        <x:f>IF(COUNTA(A171:G171)=0,"",IF(OR(A171="",B171="",C171="",NOT(ISNUMBER(D171)),NOT(ISNUMBER(E171)),F171="",G171&lt;&gt;"Sim"),"Pendente: dados ou informe","Completo"))</x:f>
      </x:c>
    </x:row>
    <x:row r="172" ht="24" customHeight="1">
      <x:c r="A172" s="7"/>
      <x:c r="B172" s="13"/>
      <x:c r="C172" s="13"/>
      <x:c r="D172" s="16"/>
      <x:c r="E172" s="16"/>
      <x:c r="F172" s="7"/>
      <x:c r="G172" s="7"/>
      <x:c r="H172" s="11" t="str">
        <x:f>IF(COUNTA(A172:G172)=0,"",IF(OR(A172="",B172="",C172="",NOT(ISNUMBER(D172)),NOT(ISNUMBER(E172)),F172="",G172&lt;&gt;"Sim"),"Pendente: dados ou informe","Completo"))</x:f>
      </x:c>
    </x:row>
    <x:row r="173" ht="24" customHeight="1">
      <x:c r="A173" s="7"/>
      <x:c r="B173" s="13"/>
      <x:c r="C173" s="13"/>
      <x:c r="D173" s="16"/>
      <x:c r="E173" s="16"/>
      <x:c r="F173" s="7"/>
      <x:c r="G173" s="7"/>
      <x:c r="H173" s="11" t="str">
        <x:f>IF(COUNTA(A173:G173)=0,"",IF(OR(A173="",B173="",C173="",NOT(ISNUMBER(D173)),NOT(ISNUMBER(E173)),F173="",G173&lt;&gt;"Sim"),"Pendente: dados ou informe","Completo"))</x:f>
      </x:c>
    </x:row>
    <x:row r="174" ht="24" customHeight="1">
      <x:c r="A174" s="7"/>
      <x:c r="B174" s="13"/>
      <x:c r="C174" s="13"/>
      <x:c r="D174" s="16"/>
      <x:c r="E174" s="16"/>
      <x:c r="F174" s="7"/>
      <x:c r="G174" s="7"/>
      <x:c r="H174" s="11" t="str">
        <x:f>IF(COUNTA(A174:G174)=0,"",IF(OR(A174="",B174="",C174="",NOT(ISNUMBER(D174)),NOT(ISNUMBER(E174)),F174="",G174&lt;&gt;"Sim"),"Pendente: dados ou informe","Completo"))</x:f>
      </x:c>
    </x:row>
    <x:row r="175" ht="24" customHeight="1">
      <x:c r="A175" s="7"/>
      <x:c r="B175" s="13"/>
      <x:c r="C175" s="13"/>
      <x:c r="D175" s="16"/>
      <x:c r="E175" s="16"/>
      <x:c r="F175" s="7"/>
      <x:c r="G175" s="7"/>
      <x:c r="H175" s="11" t="str">
        <x:f>IF(COUNTA(A175:G175)=0,"",IF(OR(A175="",B175="",C175="",NOT(ISNUMBER(D175)),NOT(ISNUMBER(E175)),F175="",G175&lt;&gt;"Sim"),"Pendente: dados ou informe","Completo"))</x:f>
      </x:c>
    </x:row>
    <x:row r="176" ht="24" customHeight="1">
      <x:c r="A176" s="7"/>
      <x:c r="B176" s="13"/>
      <x:c r="C176" s="13"/>
      <x:c r="D176" s="16"/>
      <x:c r="E176" s="16"/>
      <x:c r="F176" s="7"/>
      <x:c r="G176" s="7"/>
      <x:c r="H176" s="11" t="str">
        <x:f>IF(COUNTA(A176:G176)=0,"",IF(OR(A176="",B176="",C176="",NOT(ISNUMBER(D176)),NOT(ISNUMBER(E176)),F176="",G176&lt;&gt;"Sim"),"Pendente: dados ou informe","Completo"))</x:f>
      </x:c>
    </x:row>
    <x:row r="177" ht="24" customHeight="1">
      <x:c r="A177" s="7"/>
      <x:c r="B177" s="13"/>
      <x:c r="C177" s="13"/>
      <x:c r="D177" s="16"/>
      <x:c r="E177" s="16"/>
      <x:c r="F177" s="7"/>
      <x:c r="G177" s="7"/>
      <x:c r="H177" s="11" t="str">
        <x:f>IF(COUNTA(A177:G177)=0,"",IF(OR(A177="",B177="",C177="",NOT(ISNUMBER(D177)),NOT(ISNUMBER(E177)),F177="",G177&lt;&gt;"Sim"),"Pendente: dados ou informe","Completo"))</x:f>
      </x:c>
    </x:row>
    <x:row r="178" ht="24" customHeight="1">
      <x:c r="A178" s="7"/>
      <x:c r="B178" s="13"/>
      <x:c r="C178" s="13"/>
      <x:c r="D178" s="16"/>
      <x:c r="E178" s="16"/>
      <x:c r="F178" s="7"/>
      <x:c r="G178" s="7"/>
      <x:c r="H178" s="11" t="str">
        <x:f>IF(COUNTA(A178:G178)=0,"",IF(OR(A178="",B178="",C178="",NOT(ISNUMBER(D178)),NOT(ISNUMBER(E178)),F178="",G178&lt;&gt;"Sim"),"Pendente: dados ou informe","Completo"))</x:f>
      </x:c>
    </x:row>
    <x:row r="179" ht="24" customHeight="1">
      <x:c r="A179" s="7"/>
      <x:c r="B179" s="13"/>
      <x:c r="C179" s="13"/>
      <x:c r="D179" s="16"/>
      <x:c r="E179" s="16"/>
      <x:c r="F179" s="7"/>
      <x:c r="G179" s="7"/>
      <x:c r="H179" s="11" t="str">
        <x:f>IF(COUNTA(A179:G179)=0,"",IF(OR(A179="",B179="",C179="",NOT(ISNUMBER(D179)),NOT(ISNUMBER(E179)),F179="",G179&lt;&gt;"Sim"),"Pendente: dados ou informe","Completo"))</x:f>
      </x:c>
    </x:row>
    <x:row r="180" ht="24" customHeight="1">
      <x:c r="A180" s="7"/>
      <x:c r="B180" s="13"/>
      <x:c r="C180" s="13"/>
      <x:c r="D180" s="16"/>
      <x:c r="E180" s="16"/>
      <x:c r="F180" s="7"/>
      <x:c r="G180" s="7"/>
      <x:c r="H180" s="11" t="str">
        <x:f>IF(COUNTA(A180:G180)=0,"",IF(OR(A180="",B180="",C180="",NOT(ISNUMBER(D180)),NOT(ISNUMBER(E180)),F180="",G180&lt;&gt;"Sim"),"Pendente: dados ou informe","Completo"))</x:f>
      </x:c>
    </x:row>
    <x:row r="181" ht="24" customHeight="1">
      <x:c r="A181" s="7"/>
      <x:c r="B181" s="13"/>
      <x:c r="C181" s="13"/>
      <x:c r="D181" s="16"/>
      <x:c r="E181" s="16"/>
      <x:c r="F181" s="7"/>
      <x:c r="G181" s="7"/>
      <x:c r="H181" s="11" t="str">
        <x:f>IF(COUNTA(A181:G181)=0,"",IF(OR(A181="",B181="",C181="",NOT(ISNUMBER(D181)),NOT(ISNUMBER(E181)),F181="",G181&lt;&gt;"Sim"),"Pendente: dados ou informe","Completo"))</x:f>
      </x:c>
    </x:row>
    <x:row r="182" ht="24" customHeight="1">
      <x:c r="A182" s="7"/>
      <x:c r="B182" s="13"/>
      <x:c r="C182" s="13"/>
      <x:c r="D182" s="16"/>
      <x:c r="E182" s="16"/>
      <x:c r="F182" s="7"/>
      <x:c r="G182" s="7"/>
      <x:c r="H182" s="11" t="str">
        <x:f>IF(COUNTA(A182:G182)=0,"",IF(OR(A182="",B182="",C182="",NOT(ISNUMBER(D182)),NOT(ISNUMBER(E182)),F182="",G182&lt;&gt;"Sim"),"Pendente: dados ou informe","Completo"))</x:f>
      </x:c>
    </x:row>
    <x:row r="183" ht="24" customHeight="1">
      <x:c r="A183" s="7"/>
      <x:c r="B183" s="13"/>
      <x:c r="C183" s="13"/>
      <x:c r="D183" s="16"/>
      <x:c r="E183" s="16"/>
      <x:c r="F183" s="7"/>
      <x:c r="G183" s="7"/>
      <x:c r="H183" s="11" t="str">
        <x:f>IF(COUNTA(A183:G183)=0,"",IF(OR(A183="",B183="",C183="",NOT(ISNUMBER(D183)),NOT(ISNUMBER(E183)),F183="",G183&lt;&gt;"Sim"),"Pendente: dados ou informe","Completo"))</x:f>
      </x:c>
    </x:row>
    <x:row r="184" ht="24" customHeight="1">
      <x:c r="A184" s="7"/>
      <x:c r="B184" s="13"/>
      <x:c r="C184" s="13"/>
      <x:c r="D184" s="16"/>
      <x:c r="E184" s="16"/>
      <x:c r="F184" s="7"/>
      <x:c r="G184" s="7"/>
      <x:c r="H184" s="11" t="str">
        <x:f>IF(COUNTA(A184:G184)=0,"",IF(OR(A184="",B184="",C184="",NOT(ISNUMBER(D184)),NOT(ISNUMBER(E184)),F184="",G184&lt;&gt;"Sim"),"Pendente: dados ou informe","Completo"))</x:f>
      </x:c>
    </x:row>
    <x:row r="185" ht="24" customHeight="1">
      <x:c r="A185" s="7"/>
      <x:c r="B185" s="13"/>
      <x:c r="C185" s="13"/>
      <x:c r="D185" s="16"/>
      <x:c r="E185" s="16"/>
      <x:c r="F185" s="7"/>
      <x:c r="G185" s="7"/>
      <x:c r="H185" s="11" t="str">
        <x:f>IF(COUNTA(A185:G185)=0,"",IF(OR(A185="",B185="",C185="",NOT(ISNUMBER(D185)),NOT(ISNUMBER(E185)),F185="",G185&lt;&gt;"Sim"),"Pendente: dados ou informe","Completo"))</x:f>
      </x:c>
    </x:row>
    <x:row r="186" ht="24" customHeight="1">
      <x:c r="A186" s="7"/>
      <x:c r="B186" s="13"/>
      <x:c r="C186" s="13"/>
      <x:c r="D186" s="16"/>
      <x:c r="E186" s="16"/>
      <x:c r="F186" s="7"/>
      <x:c r="G186" s="7"/>
      <x:c r="H186" s="11" t="str">
        <x:f>IF(COUNTA(A186:G186)=0,"",IF(OR(A186="",B186="",C186="",NOT(ISNUMBER(D186)),NOT(ISNUMBER(E186)),F186="",G186&lt;&gt;"Sim"),"Pendente: dados ou informe","Completo"))</x:f>
      </x:c>
    </x:row>
    <x:row r="187" ht="24" customHeight="1">
      <x:c r="A187" s="7"/>
      <x:c r="B187" s="13"/>
      <x:c r="C187" s="13"/>
      <x:c r="D187" s="16"/>
      <x:c r="E187" s="16"/>
      <x:c r="F187" s="7"/>
      <x:c r="G187" s="7"/>
      <x:c r="H187" s="11" t="str">
        <x:f>IF(COUNTA(A187:G187)=0,"",IF(OR(A187="",B187="",C187="",NOT(ISNUMBER(D187)),NOT(ISNUMBER(E187)),F187="",G187&lt;&gt;"Sim"),"Pendente: dados ou informe","Completo"))</x:f>
      </x:c>
    </x:row>
    <x:row r="188" ht="24" customHeight="1">
      <x:c r="A188" s="7"/>
      <x:c r="B188" s="13"/>
      <x:c r="C188" s="13"/>
      <x:c r="D188" s="16"/>
      <x:c r="E188" s="16"/>
      <x:c r="F188" s="7"/>
      <x:c r="G188" s="7"/>
      <x:c r="H188" s="11" t="str">
        <x:f>IF(COUNTA(A188:G188)=0,"",IF(OR(A188="",B188="",C188="",NOT(ISNUMBER(D188)),NOT(ISNUMBER(E188)),F188="",G188&lt;&gt;"Sim"),"Pendente: dados ou informe","Completo"))</x:f>
      </x:c>
    </x:row>
    <x:row r="189" ht="24" customHeight="1">
      <x:c r="A189" s="7"/>
      <x:c r="B189" s="13"/>
      <x:c r="C189" s="13"/>
      <x:c r="D189" s="16"/>
      <x:c r="E189" s="16"/>
      <x:c r="F189" s="7"/>
      <x:c r="G189" s="7"/>
      <x:c r="H189" s="11" t="str">
        <x:f>IF(COUNTA(A189:G189)=0,"",IF(OR(A189="",B189="",C189="",NOT(ISNUMBER(D189)),NOT(ISNUMBER(E189)),F189="",G189&lt;&gt;"Sim"),"Pendente: dados ou informe","Completo"))</x:f>
      </x:c>
    </x:row>
    <x:row r="190" ht="24" customHeight="1">
      <x:c r="A190" s="7"/>
      <x:c r="B190" s="13"/>
      <x:c r="C190" s="13"/>
      <x:c r="D190" s="16"/>
      <x:c r="E190" s="16"/>
      <x:c r="F190" s="7"/>
      <x:c r="G190" s="7"/>
      <x:c r="H190" s="11" t="str">
        <x:f>IF(COUNTA(A190:G190)=0,"",IF(OR(A190="",B190="",C190="",NOT(ISNUMBER(D190)),NOT(ISNUMBER(E190)),F190="",G190&lt;&gt;"Sim"),"Pendente: dados ou informe","Completo"))</x:f>
      </x:c>
    </x:row>
    <x:row r="191" ht="24" customHeight="1">
      <x:c r="A191" s="7"/>
      <x:c r="B191" s="13"/>
      <x:c r="C191" s="13"/>
      <x:c r="D191" s="16"/>
      <x:c r="E191" s="16"/>
      <x:c r="F191" s="7"/>
      <x:c r="G191" s="7"/>
      <x:c r="H191" s="11" t="str">
        <x:f>IF(COUNTA(A191:G191)=0,"",IF(OR(A191="",B191="",C191="",NOT(ISNUMBER(D191)),NOT(ISNUMBER(E191)),F191="",G191&lt;&gt;"Sim"),"Pendente: dados ou informe","Completo"))</x:f>
      </x:c>
    </x:row>
    <x:row r="192" ht="24" customHeight="1">
      <x:c r="A192" s="7"/>
      <x:c r="B192" s="13"/>
      <x:c r="C192" s="13"/>
      <x:c r="D192" s="16"/>
      <x:c r="E192" s="16"/>
      <x:c r="F192" s="7"/>
      <x:c r="G192" s="7"/>
      <x:c r="H192" s="11" t="str">
        <x:f>IF(COUNTA(A192:G192)=0,"",IF(OR(A192="",B192="",C192="",NOT(ISNUMBER(D192)),NOT(ISNUMBER(E192)),F192="",G192&lt;&gt;"Sim"),"Pendente: dados ou informe","Completo"))</x:f>
      </x:c>
    </x:row>
    <x:row r="193" ht="24" customHeight="1">
      <x:c r="A193" s="7"/>
      <x:c r="B193" s="13"/>
      <x:c r="C193" s="13"/>
      <x:c r="D193" s="16"/>
      <x:c r="E193" s="16"/>
      <x:c r="F193" s="7"/>
      <x:c r="G193" s="7"/>
      <x:c r="H193" s="11" t="str">
        <x:f>IF(COUNTA(A193:G193)=0,"",IF(OR(A193="",B193="",C193="",NOT(ISNUMBER(D193)),NOT(ISNUMBER(E193)),F193="",G193&lt;&gt;"Sim"),"Pendente: dados ou informe","Completo"))</x:f>
      </x:c>
    </x:row>
    <x:row r="194" ht="24" customHeight="1">
      <x:c r="A194" s="7"/>
      <x:c r="B194" s="13"/>
      <x:c r="C194" s="13"/>
      <x:c r="D194" s="16"/>
      <x:c r="E194" s="16"/>
      <x:c r="F194" s="7"/>
      <x:c r="G194" s="7"/>
      <x:c r="H194" s="11" t="str">
        <x:f>IF(COUNTA(A194:G194)=0,"",IF(OR(A194="",B194="",C194="",NOT(ISNUMBER(D194)),NOT(ISNUMBER(E194)),F194="",G194&lt;&gt;"Sim"),"Pendente: dados ou informe","Completo"))</x:f>
      </x:c>
    </x:row>
    <x:row r="195" ht="24" customHeight="1">
      <x:c r="A195" s="7"/>
      <x:c r="B195" s="13"/>
      <x:c r="C195" s="13"/>
      <x:c r="D195" s="16"/>
      <x:c r="E195" s="16"/>
      <x:c r="F195" s="7"/>
      <x:c r="G195" s="7"/>
      <x:c r="H195" s="11" t="str">
        <x:f>IF(COUNTA(A195:G195)=0,"",IF(OR(A195="",B195="",C195="",NOT(ISNUMBER(D195)),NOT(ISNUMBER(E195)),F195="",G195&lt;&gt;"Sim"),"Pendente: dados ou informe","Completo"))</x:f>
      </x:c>
    </x:row>
    <x:row r="196" ht="24" customHeight="1">
      <x:c r="A196" s="7"/>
      <x:c r="B196" s="13"/>
      <x:c r="C196" s="13"/>
      <x:c r="D196" s="16"/>
      <x:c r="E196" s="16"/>
      <x:c r="F196" s="7"/>
      <x:c r="G196" s="7"/>
      <x:c r="H196" s="11" t="str">
        <x:f>IF(COUNTA(A196:G196)=0,"",IF(OR(A196="",B196="",C196="",NOT(ISNUMBER(D196)),NOT(ISNUMBER(E196)),F196="",G196&lt;&gt;"Sim"),"Pendente: dados ou informe","Completo"))</x:f>
      </x:c>
    </x:row>
    <x:row r="197" ht="24" customHeight="1">
      <x:c r="A197" s="7"/>
      <x:c r="B197" s="13"/>
      <x:c r="C197" s="13"/>
      <x:c r="D197" s="16"/>
      <x:c r="E197" s="16"/>
      <x:c r="F197" s="7"/>
      <x:c r="G197" s="7"/>
      <x:c r="H197" s="11" t="str">
        <x:f>IF(COUNTA(A197:G197)=0,"",IF(OR(A197="",B197="",C197="",NOT(ISNUMBER(D197)),NOT(ISNUMBER(E197)),F197="",G197&lt;&gt;"Sim"),"Pendente: dados ou informe","Completo"))</x:f>
      </x:c>
    </x:row>
    <x:row r="198" ht="24" customHeight="1">
      <x:c r="A198" s="7"/>
      <x:c r="B198" s="13"/>
      <x:c r="C198" s="13"/>
      <x:c r="D198" s="16"/>
      <x:c r="E198" s="16"/>
      <x:c r="F198" s="7"/>
      <x:c r="G198" s="7"/>
      <x:c r="H198" s="11" t="str">
        <x:f>IF(COUNTA(A198:G198)=0,"",IF(OR(A198="",B198="",C198="",NOT(ISNUMBER(D198)),NOT(ISNUMBER(E198)),F198="",G198&lt;&gt;"Sim"),"Pendente: dados ou informe","Completo"))</x:f>
      </x:c>
    </x:row>
    <x:row r="199" ht="24" customHeight="1">
      <x:c r="A199" s="7"/>
      <x:c r="B199" s="13"/>
      <x:c r="C199" s="13"/>
      <x:c r="D199" s="16"/>
      <x:c r="E199" s="16"/>
      <x:c r="F199" s="7"/>
      <x:c r="G199" s="7"/>
      <x:c r="H199" s="11" t="str">
        <x:f>IF(COUNTA(A199:G199)=0,"",IF(OR(A199="",B199="",C199="",NOT(ISNUMBER(D199)),NOT(ISNUMBER(E199)),F199="",G199&lt;&gt;"Sim"),"Pendente: dados ou informe","Completo"))</x:f>
      </x:c>
    </x:row>
    <x:row r="200" ht="24" customHeight="1">
      <x:c r="A200" s="7"/>
      <x:c r="B200" s="13"/>
      <x:c r="C200" s="13"/>
      <x:c r="D200" s="16"/>
      <x:c r="E200" s="16"/>
      <x:c r="F200" s="7"/>
      <x:c r="G200" s="7"/>
      <x:c r="H200" s="11" t="str">
        <x:f>IF(COUNTA(A200:G200)=0,"",IF(OR(A200="",B200="",C200="",NOT(ISNUMBER(D200)),NOT(ISNUMBER(E200)),F200="",G200&lt;&gt;"Sim"),"Pendente: dados ou informe","Completo"))</x:f>
      </x:c>
    </x:row>
    <x:row r="201" ht="24" customHeight="1">
      <x:c r="A201" s="7"/>
      <x:c r="B201" s="13"/>
      <x:c r="C201" s="13"/>
      <x:c r="D201" s="16"/>
      <x:c r="E201" s="16"/>
      <x:c r="F201" s="7"/>
      <x:c r="G201" s="7"/>
      <x:c r="H201" s="11" t="str">
        <x:f>IF(COUNTA(A201:G201)=0,"",IF(OR(A201="",B201="",C201="",NOT(ISNUMBER(D201)),NOT(ISNUMBER(E201)),F201="",G201&lt;&gt;"Sim"),"Pendente: dados ou informe","Completo"))</x:f>
      </x:c>
    </x:row>
    <x:row r="202" ht="24" customHeight="1">
      <x:c r="A202" s="7"/>
      <x:c r="B202" s="13"/>
      <x:c r="C202" s="13"/>
      <x:c r="D202" s="16"/>
      <x:c r="E202" s="16"/>
      <x:c r="F202" s="7"/>
      <x:c r="G202" s="7"/>
      <x:c r="H202" s="11" t="str">
        <x:f>IF(COUNTA(A202:G202)=0,"",IF(OR(A202="",B202="",C202="",NOT(ISNUMBER(D202)),NOT(ISNUMBER(E202)),F202="",G202&lt;&gt;"Sim"),"Pendente: dados ou informe","Completo"))</x:f>
      </x:c>
    </x:row>
    <x:row r="203" ht="24" customHeight="1">
      <x:c r="A203" s="7"/>
      <x:c r="B203" s="13"/>
      <x:c r="C203" s="13"/>
      <x:c r="D203" s="16"/>
      <x:c r="E203" s="16"/>
      <x:c r="F203" s="7"/>
      <x:c r="G203" s="7"/>
      <x:c r="H203" s="11" t="str">
        <x:f>IF(COUNTA(A203:G203)=0,"",IF(OR(A203="",B203="",C203="",NOT(ISNUMBER(D203)),NOT(ISNUMBER(E203)),F203="",G203&lt;&gt;"Sim"),"Pendente: dados ou informe","Completo"))</x:f>
      </x:c>
    </x:row>
    <x:row r="204" ht="24" customHeight="1">
      <x:c r="A204" s="7"/>
      <x:c r="B204" s="13"/>
      <x:c r="C204" s="13"/>
      <x:c r="D204" s="16"/>
      <x:c r="E204" s="16"/>
      <x:c r="F204" s="7"/>
      <x:c r="G204" s="7"/>
      <x:c r="H204" s="11" t="str">
        <x:f>IF(COUNTA(A204:G204)=0,"",IF(OR(A204="",B204="",C204="",NOT(ISNUMBER(D204)),NOT(ISNUMBER(E204)),F204="",G204&lt;&gt;"Sim"),"Pendente: dados ou informe","Completo"))</x:f>
      </x:c>
    </x:row>
    <x:row r="205" ht="24" customHeight="1">
      <x:c r="A205" s="7"/>
      <x:c r="B205" s="13"/>
      <x:c r="C205" s="13"/>
      <x:c r="D205" s="16"/>
      <x:c r="E205" s="16"/>
      <x:c r="F205" s="7"/>
      <x:c r="G205" s="7"/>
      <x:c r="H205" s="11" t="str">
        <x:f>IF(COUNTA(A205:G205)=0,"",IF(OR(A205="",B205="",C205="",NOT(ISNUMBER(D205)),NOT(ISNUMBER(E205)),F205="",G205&lt;&gt;"Sim"),"Pendente: dados ou informe","Completo"))</x:f>
      </x:c>
    </x:row>
    <x:row r="206" ht="24" customHeight="1">
      <x:c r="A206" s="7"/>
      <x:c r="B206" s="13"/>
      <x:c r="C206" s="13"/>
      <x:c r="D206" s="16"/>
      <x:c r="E206" s="16"/>
      <x:c r="F206" s="7"/>
      <x:c r="G206" s="7"/>
      <x:c r="H206" s="11" t="str">
        <x:f>IF(COUNTA(A206:G206)=0,"",IF(OR(A206="",B206="",C206="",NOT(ISNUMBER(D206)),NOT(ISNUMBER(E206)),F206="",G206&lt;&gt;"Sim"),"Pendente: dados ou informe","Completo"))</x:f>
      </x:c>
    </x:row>
    <x:row r="207" ht="24" customHeight="1">
      <x:c r="A207" s="7"/>
      <x:c r="B207" s="13"/>
      <x:c r="C207" s="13"/>
      <x:c r="D207" s="16"/>
      <x:c r="E207" s="16"/>
      <x:c r="F207" s="7"/>
      <x:c r="G207" s="7"/>
      <x:c r="H207" s="11" t="str">
        <x:f>IF(COUNTA(A207:G207)=0,"",IF(OR(A207="",B207="",C207="",NOT(ISNUMBER(D207)),NOT(ISNUMBER(E207)),F207="",G207&lt;&gt;"Sim"),"Pendente: dados ou informe","Completo"))</x:f>
      </x:c>
    </x:row>
    <x:row r="208" ht="24" customHeight="1">
      <x:c r="A208" s="7"/>
      <x:c r="B208" s="13"/>
      <x:c r="C208" s="13"/>
      <x:c r="D208" s="16"/>
      <x:c r="E208" s="16"/>
      <x:c r="F208" s="7"/>
      <x:c r="G208" s="7"/>
      <x:c r="H208" s="11" t="str">
        <x:f>IF(COUNTA(A208:G208)=0,"",IF(OR(A208="",B208="",C208="",NOT(ISNUMBER(D208)),NOT(ISNUMBER(E208)),F208="",G208&lt;&gt;"Sim"),"Pendente: dados ou informe","Completo"))</x:f>
      </x:c>
    </x:row>
    <x:row r="209" ht="24" customHeight="1">
      <x:c r="A209" s="7"/>
      <x:c r="B209" s="13"/>
      <x:c r="C209" s="13"/>
      <x:c r="D209" s="16"/>
      <x:c r="E209" s="16"/>
      <x:c r="F209" s="7"/>
      <x:c r="G209" s="7"/>
      <x:c r="H209" s="11" t="str">
        <x:f>IF(COUNTA(A209:G209)=0,"",IF(OR(A209="",B209="",C209="",NOT(ISNUMBER(D209)),NOT(ISNUMBER(E209)),F209="",G209&lt;&gt;"Sim"),"Pendente: dados ou informe","Completo"))</x:f>
      </x:c>
    </x:row>
  </x:sheetData>
  <x:conditionalFormatting sqref="H10:H209">
    <x:cfRule type="containsText" dxfId="1" priority="1" operator="containsText" text="Pendente"/>
  </x:conditionalFormatting>
  <x:dataValidations count="2">
    <x:dataValidation type="list" errorStyle="stop" showErrorMessage="1" errorTitle="Confira o preenchimento" error="Selecione uma opção da lista." sqref="G10:G209">
      <x:formula1>"Sim,Não"</x:formula1>
    </x:dataValidation>
    <x:dataValidation type="decimal" errorStyle="stop" operator="greaterThanOrEqual" showErrorMessage="1" errorTitle="Confira o preenchimento" error="Informe um valor maior ou igual a zero." sqref="D10:E209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c4339225544032"/>
  </x:tableParts>
</x:worksheet>
</file>

<file path=xl/worksheets/sheet4.xml><?xml version="1.0" encoding="utf-8"?>
<x:worksheet xmlns:x="http://schemas.openxmlformats.org/spreadsheetml/2006/main">
  <x:sheetPr>
    <x:tabColor rgb="FF243653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0" hidden="0" customWidth="1"/>
    <x:col min="5" max="5" width="36" hidden="0" customWidth="1"/>
    <x:col min="6" max="6" width="20" hidden="0" customWidth="1"/>
    <x:col min="7" max="7" width="3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4" customHeight="1">
      <x:c r="A2" s="3" t="str">
        <x:v>Receitas e comprovantes</x:v>
      </x:c>
      <x:c r="B2" s="2"/>
      <x:c r="C2" s="2"/>
      <x:c r="D2" s="2"/>
      <x:c r="E2" s="2"/>
      <x:c r="F2" s="2"/>
      <x:c r="G2" s="2"/>
    </x:row>
    <x:row r="3" ht="24" customHeight="1">
      <x:c r="A3" s="4"/>
      <x:c r="B3" s="4"/>
      <x:c r="C3" s="4"/>
      <x:c r="D3" s="4"/>
      <x:c r="E3" s="4"/>
      <x:c r="F3" s="4"/>
      <x:c r="G3" s="4"/>
    </x:row>
    <x:row r="4" ht="28" customHeight="1">
      <x:c r="A4" s="6" t="str">
        <x:f>HYPERLINK("#'Resumo'!A1","Resumo")</x:f>
        <x:v>Resumo</x:v>
      </x:c>
      <x:c r="B4" s="6" t="str">
        <x:f>HYPERLINK("#'Titular'!A1","Titular")</x:f>
        <x:v>Titular</x:v>
      </x:c>
      <x:c r="C4" s="6" t="str">
        <x:f>HYPERLINK("#'Informes'!A1","Informes")</x:f>
        <x:v>Informes</x:v>
      </x:c>
      <x:c r="D4" s="6" t="str">
        <x:f>HYPERLINK("#'Notas'!A1","Notas")</x:f>
        <x:v>Notas</x:v>
      </x:c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24" customHeight="1">
      <x:c r="A6" s="2" t="str">
        <x:v>Uma linha por recebimento. Os exemplos são fictícios. Categorias são organizacionais.</x:v>
      </x:c>
      <x:c r="B6" s="2"/>
      <x:c r="C6" s="2"/>
      <x:c r="D6" s="2"/>
      <x:c r="E6" s="2"/>
      <x:c r="F6" s="2"/>
      <x:c r="G6" s="2"/>
    </x:row>
    <x:row r="7" ht="24" customHeight="1">
      <x:c r="A7" s="2"/>
      <x:c r="B7" s="2"/>
      <x:c r="C7" s="2"/>
      <x:c r="D7" s="2"/>
      <x:c r="E7" s="2"/>
      <x:c r="F7" s="2"/>
      <x:c r="G7" s="2"/>
    </x:row>
    <x:row r="8" ht="24" customHeight="1">
      <x:c r="A8" s="2"/>
      <x:c r="B8" s="2"/>
      <x:c r="C8" s="2"/>
      <x:c r="D8" s="2"/>
      <x:c r="E8" s="2"/>
      <x:c r="F8" s="2"/>
      <x:c r="G8" s="2"/>
    </x:row>
    <x:row r="9" ht="34" customHeight="1">
      <x:c r="A9" s="9" t="str">
        <x:v>Data</x:v>
      </x:c>
      <x:c r="B9" s="9" t="str">
        <x:v>Categoria</x:v>
      </x:c>
      <x:c r="C9" s="9" t="str">
        <x:v>Fonte pagadora</x:v>
      </x:c>
      <x:c r="D9" s="9" t="str">
        <x:v>Valor recebido</x:v>
      </x:c>
      <x:c r="E9" s="9" t="str">
        <x:v>Arquivo ou URL</x:v>
      </x:c>
      <x:c r="F9" s="9" t="str">
        <x:v>Recebido?</x:v>
      </x:c>
      <x:c r="G9" s="9" t="str">
        <x:v>Conferência</x:v>
      </x:c>
    </x:row>
    <x:row r="10" ht="24" customHeight="1">
      <x:c r="A10" s="14" t="d">
        <x:v>2025-01-05T12:00:00.000Z</x:v>
      </x:c>
      <x:c r="B10" s="7" t="str">
        <x:v>Salário</x:v>
      </x:c>
      <x:c r="C10" s="7" t="str">
        <x:v>Empresa exemplo</x:v>
      </x:c>
      <x:c r="D10" s="16" t="n">
        <x:v>3500</x:v>
      </x:c>
      <x:c r="E10" s="7" t="str">
        <x:v>holerite-jan-exemplo.pdf</x:v>
      </x:c>
      <x:c r="F10" s="7" t="str">
        <x:v>Sim</x:v>
      </x:c>
      <x:c r="G10" s="11" t="str">
        <x:f>IF(COUNTA(A10:F10)=0,"",IF(OR(NOT(ISNUMBER(A10)),A10&lt;DATE('Resumo'!$B$6,1,1),A10&gt;=DATE('Resumo'!$B$6+1,1,1),B10="",C10="",NOT(ISNUMBER(D10)),E10="",F10&lt;&gt;"Sim"),"Pendente: dados ou comprovante","Completo"))</x:f>
        <x:v>Completo</x:v>
      </x:c>
    </x:row>
    <x:row r="11" ht="24" customHeight="1">
      <x:c r="A11" s="14" t="d">
        <x:v>2025-01-20T12:00:00.000Z</x:v>
      </x:c>
      <x:c r="B11" s="7" t="str">
        <x:v>Autônomo</x:v>
      </x:c>
      <x:c r="C11" s="7" t="str">
        <x:v>Cliente exemplo</x:v>
      </x:c>
      <x:c r="D11" s="16" t="n">
        <x:v>1200</x:v>
      </x:c>
      <x:c r="E11" s="7"/>
      <x:c r="F11" s="7" t="str">
        <x:v>Não</x:v>
      </x:c>
      <x:c r="G11" s="11" t="str">
        <x:f>IF(COUNTA(A11:F11)=0,"",IF(OR(NOT(ISNUMBER(A11)),A11&lt;DATE('Resumo'!$B$6,1,1),A11&gt;=DATE('Resumo'!$B$6+1,1,1),B11="",C11="",NOT(ISNUMBER(D11)),E11="",F11&lt;&gt;"Sim"),"Pendente: dados ou comprovante","Completo"))</x:f>
        <x:v>Pendente: dados ou comprovante</x:v>
      </x:c>
    </x:row>
    <x:row r="12" ht="24" customHeight="1">
      <x:c r="A12" s="14" t="d">
        <x:v>2025-02-05T12:00:00.000Z</x:v>
      </x:c>
      <x:c r="B12" s="7" t="str">
        <x:v>Salário</x:v>
      </x:c>
      <x:c r="C12" s="7" t="str">
        <x:v>Empresa exemplo</x:v>
      </x:c>
      <x:c r="D12" s="16" t="n">
        <x:v>3500</x:v>
      </x:c>
      <x:c r="E12" s="7" t="str">
        <x:v>holerite-fev-exemplo.pdf</x:v>
      </x:c>
      <x:c r="F12" s="7" t="str">
        <x:v>Sim</x:v>
      </x:c>
      <x:c r="G12" s="11" t="str">
        <x:f>IF(COUNTA(A12:F12)=0,"",IF(OR(NOT(ISNUMBER(A12)),A12&lt;DATE('Resumo'!$B$6,1,1),A12&gt;=DATE('Resumo'!$B$6+1,1,1),B12="",C12="",NOT(ISNUMBER(D12)),E12="",F12&lt;&gt;"Sim"),"Pendente: dados ou comprovante","Completo"))</x:f>
        <x:v>Completo</x:v>
      </x:c>
    </x:row>
    <x:row r="13" ht="24" customHeight="1">
      <x:c r="A13" s="14"/>
      <x:c r="B13" s="7"/>
      <x:c r="C13" s="7"/>
      <x:c r="D13" s="16"/>
      <x:c r="E13" s="7"/>
      <x:c r="F13" s="7"/>
      <x:c r="G13" s="11" t="str">
        <x:f>IF(COUNTA(A13:F13)=0,"",IF(OR(NOT(ISNUMBER(A13)),A13&lt;DATE('Resumo'!$B$6,1,1),A13&gt;=DATE('Resumo'!$B$6+1,1,1),B13="",C13="",NOT(ISNUMBER(D13)),E13="",F13&lt;&gt;"Sim"),"Pendente: dados ou comprovante","Completo"))</x:f>
      </x:c>
    </x:row>
    <x:row r="14" ht="24" customHeight="1">
      <x:c r="A14" s="14"/>
      <x:c r="B14" s="7"/>
      <x:c r="C14" s="7"/>
      <x:c r="D14" s="16"/>
      <x:c r="E14" s="7"/>
      <x:c r="F14" s="7"/>
      <x:c r="G14" s="11" t="str">
        <x:f>IF(COUNTA(A14:F14)=0,"",IF(OR(NOT(ISNUMBER(A14)),A14&lt;DATE('Resumo'!$B$6,1,1),A14&gt;=DATE('Resumo'!$B$6+1,1,1),B14="",C14="",NOT(ISNUMBER(D14)),E14="",F14&lt;&gt;"Sim"),"Pendente: dados ou comprovante","Completo"))</x:f>
      </x:c>
    </x:row>
    <x:row r="15" ht="24" customHeight="1">
      <x:c r="A15" s="14"/>
      <x:c r="B15" s="7"/>
      <x:c r="C15" s="7"/>
      <x:c r="D15" s="16"/>
      <x:c r="E15" s="7"/>
      <x:c r="F15" s="7"/>
      <x:c r="G15" s="11" t="str">
        <x:f>IF(COUNTA(A15:F15)=0,"",IF(OR(NOT(ISNUMBER(A15)),A15&lt;DATE('Resumo'!$B$6,1,1),A15&gt;=DATE('Resumo'!$B$6+1,1,1),B15="",C15="",NOT(ISNUMBER(D15)),E15="",F15&lt;&gt;"Sim"),"Pendente: dados ou comprovante","Completo"))</x:f>
      </x:c>
    </x:row>
    <x:row r="16" ht="24" customHeight="1">
      <x:c r="A16" s="14"/>
      <x:c r="B16" s="7"/>
      <x:c r="C16" s="7"/>
      <x:c r="D16" s="16"/>
      <x:c r="E16" s="7"/>
      <x:c r="F16" s="7"/>
      <x:c r="G16" s="11" t="str">
        <x:f>IF(COUNTA(A16:F16)=0,"",IF(OR(NOT(ISNUMBER(A16)),A16&lt;DATE('Resumo'!$B$6,1,1),A16&gt;=DATE('Resumo'!$B$6+1,1,1),B16="",C16="",NOT(ISNUMBER(D16)),E16="",F16&lt;&gt;"Sim"),"Pendente: dados ou comprovante","Completo"))</x:f>
      </x:c>
    </x:row>
    <x:row r="17" ht="24" customHeight="1">
      <x:c r="A17" s="14"/>
      <x:c r="B17" s="7"/>
      <x:c r="C17" s="7"/>
      <x:c r="D17" s="16"/>
      <x:c r="E17" s="7"/>
      <x:c r="F17" s="7"/>
      <x:c r="G17" s="11" t="str">
        <x:f>IF(COUNTA(A17:F17)=0,"",IF(OR(NOT(ISNUMBER(A17)),A17&lt;DATE('Resumo'!$B$6,1,1),A17&gt;=DATE('Resumo'!$B$6+1,1,1),B17="",C17="",NOT(ISNUMBER(D17)),E17="",F17&lt;&gt;"Sim"),"Pendente: dados ou comprovante","Completo"))</x:f>
      </x:c>
    </x:row>
    <x:row r="18" ht="24" customHeight="1">
      <x:c r="A18" s="14"/>
      <x:c r="B18" s="7"/>
      <x:c r="C18" s="7"/>
      <x:c r="D18" s="16"/>
      <x:c r="E18" s="7"/>
      <x:c r="F18" s="7"/>
      <x:c r="G18" s="11" t="str">
        <x:f>IF(COUNTA(A18:F18)=0,"",IF(OR(NOT(ISNUMBER(A18)),A18&lt;DATE('Resumo'!$B$6,1,1),A18&gt;=DATE('Resumo'!$B$6+1,1,1),B18="",C18="",NOT(ISNUMBER(D18)),E18="",F18&lt;&gt;"Sim"),"Pendente: dados ou comprovante","Completo"))</x:f>
      </x:c>
    </x:row>
    <x:row r="19" ht="24" customHeight="1">
      <x:c r="A19" s="14"/>
      <x:c r="B19" s="7"/>
      <x:c r="C19" s="7"/>
      <x:c r="D19" s="16"/>
      <x:c r="E19" s="7"/>
      <x:c r="F19" s="7"/>
      <x:c r="G19" s="11" t="str">
        <x:f>IF(COUNTA(A19:F19)=0,"",IF(OR(NOT(ISNUMBER(A19)),A19&lt;DATE('Resumo'!$B$6,1,1),A19&gt;=DATE('Resumo'!$B$6+1,1,1),B19="",C19="",NOT(ISNUMBER(D19)),E19="",F19&lt;&gt;"Sim"),"Pendente: dados ou comprovante","Completo"))</x:f>
      </x:c>
    </x:row>
    <x:row r="20" ht="24" customHeight="1">
      <x:c r="A20" s="14"/>
      <x:c r="B20" s="7"/>
      <x:c r="C20" s="7"/>
      <x:c r="D20" s="16"/>
      <x:c r="E20" s="7"/>
      <x:c r="F20" s="7"/>
      <x:c r="G20" s="11" t="str">
        <x:f>IF(COUNTA(A20:F20)=0,"",IF(OR(NOT(ISNUMBER(A20)),A20&lt;DATE('Resumo'!$B$6,1,1),A20&gt;=DATE('Resumo'!$B$6+1,1,1),B20="",C20="",NOT(ISNUMBER(D20)),E20="",F20&lt;&gt;"Sim"),"Pendente: dados ou comprovante","Completo"))</x:f>
      </x:c>
    </x:row>
    <x:row r="21" ht="24" customHeight="1">
      <x:c r="A21" s="14"/>
      <x:c r="B21" s="7"/>
      <x:c r="C21" s="7"/>
      <x:c r="D21" s="16"/>
      <x:c r="E21" s="7"/>
      <x:c r="F21" s="7"/>
      <x:c r="G21" s="11" t="str">
        <x:f>IF(COUNTA(A21:F21)=0,"",IF(OR(NOT(ISNUMBER(A21)),A21&lt;DATE('Resumo'!$B$6,1,1),A21&gt;=DATE('Resumo'!$B$6+1,1,1),B21="",C21="",NOT(ISNUMBER(D21)),E21="",F21&lt;&gt;"Sim"),"Pendente: dados ou comprovante","Completo"))</x:f>
      </x:c>
    </x:row>
    <x:row r="22" ht="24" customHeight="1">
      <x:c r="A22" s="14"/>
      <x:c r="B22" s="7"/>
      <x:c r="C22" s="7"/>
      <x:c r="D22" s="16"/>
      <x:c r="E22" s="7"/>
      <x:c r="F22" s="7"/>
      <x:c r="G22" s="11" t="str">
        <x:f>IF(COUNTA(A22:F22)=0,"",IF(OR(NOT(ISNUMBER(A22)),A22&lt;DATE('Resumo'!$B$6,1,1),A22&gt;=DATE('Resumo'!$B$6+1,1,1),B22="",C22="",NOT(ISNUMBER(D22)),E22="",F22&lt;&gt;"Sim"),"Pendente: dados ou comprovante","Completo"))</x:f>
      </x:c>
    </x:row>
    <x:row r="23" ht="24" customHeight="1">
      <x:c r="A23" s="14"/>
      <x:c r="B23" s="7"/>
      <x:c r="C23" s="7"/>
      <x:c r="D23" s="16"/>
      <x:c r="E23" s="7"/>
      <x:c r="F23" s="7"/>
      <x:c r="G23" s="11" t="str">
        <x:f>IF(COUNTA(A23:F23)=0,"",IF(OR(NOT(ISNUMBER(A23)),A23&lt;DATE('Resumo'!$B$6,1,1),A23&gt;=DATE('Resumo'!$B$6+1,1,1),B23="",C23="",NOT(ISNUMBER(D23)),E23="",F23&lt;&gt;"Sim"),"Pendente: dados ou comprovante","Completo"))</x:f>
      </x:c>
    </x:row>
    <x:row r="24" ht="24" customHeight="1">
      <x:c r="A24" s="14"/>
      <x:c r="B24" s="7"/>
      <x:c r="C24" s="7"/>
      <x:c r="D24" s="16"/>
      <x:c r="E24" s="7"/>
      <x:c r="F24" s="7"/>
      <x:c r="G24" s="11" t="str">
        <x:f>IF(COUNTA(A24:F24)=0,"",IF(OR(NOT(ISNUMBER(A24)),A24&lt;DATE('Resumo'!$B$6,1,1),A24&gt;=DATE('Resumo'!$B$6+1,1,1),B24="",C24="",NOT(ISNUMBER(D24)),E24="",F24&lt;&gt;"Sim"),"Pendente: dados ou comprovante","Completo"))</x:f>
      </x:c>
    </x:row>
    <x:row r="25" ht="24" customHeight="1">
      <x:c r="A25" s="14"/>
      <x:c r="B25" s="7"/>
      <x:c r="C25" s="7"/>
      <x:c r="D25" s="16"/>
      <x:c r="E25" s="7"/>
      <x:c r="F25" s="7"/>
      <x:c r="G25" s="11" t="str">
        <x:f>IF(COUNTA(A25:F25)=0,"",IF(OR(NOT(ISNUMBER(A25)),A25&lt;DATE('Resumo'!$B$6,1,1),A25&gt;=DATE('Resumo'!$B$6+1,1,1),B25="",C25="",NOT(ISNUMBER(D25)),E25="",F25&lt;&gt;"Sim"),"Pendente: dados ou comprovante","Completo"))</x:f>
      </x:c>
    </x:row>
    <x:row r="26" ht="24" customHeight="1">
      <x:c r="A26" s="14"/>
      <x:c r="B26" s="7"/>
      <x:c r="C26" s="7"/>
      <x:c r="D26" s="16"/>
      <x:c r="E26" s="7"/>
      <x:c r="F26" s="7"/>
      <x:c r="G26" s="11" t="str">
        <x:f>IF(COUNTA(A26:F26)=0,"",IF(OR(NOT(ISNUMBER(A26)),A26&lt;DATE('Resumo'!$B$6,1,1),A26&gt;=DATE('Resumo'!$B$6+1,1,1),B26="",C26="",NOT(ISNUMBER(D26)),E26="",F26&lt;&gt;"Sim"),"Pendente: dados ou comprovante","Completo"))</x:f>
      </x:c>
    </x:row>
    <x:row r="27" ht="24" customHeight="1">
      <x:c r="A27" s="14"/>
      <x:c r="B27" s="7"/>
      <x:c r="C27" s="7"/>
      <x:c r="D27" s="16"/>
      <x:c r="E27" s="7"/>
      <x:c r="F27" s="7"/>
      <x:c r="G27" s="11" t="str">
        <x:f>IF(COUNTA(A27:F27)=0,"",IF(OR(NOT(ISNUMBER(A27)),A27&lt;DATE('Resumo'!$B$6,1,1),A27&gt;=DATE('Resumo'!$B$6+1,1,1),B27="",C27="",NOT(ISNUMBER(D27)),E27="",F27&lt;&gt;"Sim"),"Pendente: dados ou comprovante","Completo"))</x:f>
      </x:c>
    </x:row>
    <x:row r="28" ht="24" customHeight="1">
      <x:c r="A28" s="14"/>
      <x:c r="B28" s="7"/>
      <x:c r="C28" s="7"/>
      <x:c r="D28" s="16"/>
      <x:c r="E28" s="7"/>
      <x:c r="F28" s="7"/>
      <x:c r="G28" s="11" t="str">
        <x:f>IF(COUNTA(A28:F28)=0,"",IF(OR(NOT(ISNUMBER(A28)),A28&lt;DATE('Resumo'!$B$6,1,1),A28&gt;=DATE('Resumo'!$B$6+1,1,1),B28="",C28="",NOT(ISNUMBER(D28)),E28="",F28&lt;&gt;"Sim"),"Pendente: dados ou comprovante","Completo"))</x:f>
      </x:c>
    </x:row>
    <x:row r="29" ht="24" customHeight="1">
      <x:c r="A29" s="14"/>
      <x:c r="B29" s="7"/>
      <x:c r="C29" s="7"/>
      <x:c r="D29" s="16"/>
      <x:c r="E29" s="7"/>
      <x:c r="F29" s="7"/>
      <x:c r="G29" s="11" t="str">
        <x:f>IF(COUNTA(A29:F29)=0,"",IF(OR(NOT(ISNUMBER(A29)),A29&lt;DATE('Resumo'!$B$6,1,1),A29&gt;=DATE('Resumo'!$B$6+1,1,1),B29="",C29="",NOT(ISNUMBER(D29)),E29="",F29&lt;&gt;"Sim"),"Pendente: dados ou comprovante","Completo"))</x:f>
      </x:c>
    </x:row>
    <x:row r="30" ht="24" customHeight="1">
      <x:c r="A30" s="14"/>
      <x:c r="B30" s="7"/>
      <x:c r="C30" s="7"/>
      <x:c r="D30" s="16"/>
      <x:c r="E30" s="7"/>
      <x:c r="F30" s="7"/>
      <x:c r="G30" s="11" t="str">
        <x:f>IF(COUNTA(A30:F30)=0,"",IF(OR(NOT(ISNUMBER(A30)),A30&lt;DATE('Resumo'!$B$6,1,1),A30&gt;=DATE('Resumo'!$B$6+1,1,1),B30="",C30="",NOT(ISNUMBER(D30)),E30="",F30&lt;&gt;"Sim"),"Pendente: dados ou comprovante","Completo"))</x:f>
      </x:c>
    </x:row>
    <x:row r="31" ht="24" customHeight="1">
      <x:c r="A31" s="14"/>
      <x:c r="B31" s="7"/>
      <x:c r="C31" s="7"/>
      <x:c r="D31" s="16"/>
      <x:c r="E31" s="7"/>
      <x:c r="F31" s="7"/>
      <x:c r="G31" s="11" t="str">
        <x:f>IF(COUNTA(A31:F31)=0,"",IF(OR(NOT(ISNUMBER(A31)),A31&lt;DATE('Resumo'!$B$6,1,1),A31&gt;=DATE('Resumo'!$B$6+1,1,1),B31="",C31="",NOT(ISNUMBER(D31)),E31="",F31&lt;&gt;"Sim"),"Pendente: dados ou comprovante","Completo"))</x:f>
      </x:c>
    </x:row>
    <x:row r="32" ht="24" customHeight="1">
      <x:c r="A32" s="14"/>
      <x:c r="B32" s="7"/>
      <x:c r="C32" s="7"/>
      <x:c r="D32" s="16"/>
      <x:c r="E32" s="7"/>
      <x:c r="F32" s="7"/>
      <x:c r="G32" s="11" t="str">
        <x:f>IF(COUNTA(A32:F32)=0,"",IF(OR(NOT(ISNUMBER(A32)),A32&lt;DATE('Resumo'!$B$6,1,1),A32&gt;=DATE('Resumo'!$B$6+1,1,1),B32="",C32="",NOT(ISNUMBER(D32)),E32="",F32&lt;&gt;"Sim"),"Pendente: dados ou comprovante","Completo"))</x:f>
      </x:c>
    </x:row>
    <x:row r="33" ht="24" customHeight="1">
      <x:c r="A33" s="14"/>
      <x:c r="B33" s="7"/>
      <x:c r="C33" s="7"/>
      <x:c r="D33" s="16"/>
      <x:c r="E33" s="7"/>
      <x:c r="F33" s="7"/>
      <x:c r="G33" s="11" t="str">
        <x:f>IF(COUNTA(A33:F33)=0,"",IF(OR(NOT(ISNUMBER(A33)),A33&lt;DATE('Resumo'!$B$6,1,1),A33&gt;=DATE('Resumo'!$B$6+1,1,1),B33="",C33="",NOT(ISNUMBER(D33)),E33="",F33&lt;&gt;"Sim"),"Pendente: dados ou comprovante","Completo"))</x:f>
      </x:c>
    </x:row>
    <x:row r="34" ht="24" customHeight="1">
      <x:c r="A34" s="14"/>
      <x:c r="B34" s="7"/>
      <x:c r="C34" s="7"/>
      <x:c r="D34" s="16"/>
      <x:c r="E34" s="7"/>
      <x:c r="F34" s="7"/>
      <x:c r="G34" s="11" t="str">
        <x:f>IF(COUNTA(A34:F34)=0,"",IF(OR(NOT(ISNUMBER(A34)),A34&lt;DATE('Resumo'!$B$6,1,1),A34&gt;=DATE('Resumo'!$B$6+1,1,1),B34="",C34="",NOT(ISNUMBER(D34)),E34="",F34&lt;&gt;"Sim"),"Pendente: dados ou comprovante","Completo"))</x:f>
      </x:c>
    </x:row>
    <x:row r="35" ht="24" customHeight="1">
      <x:c r="A35" s="14"/>
      <x:c r="B35" s="7"/>
      <x:c r="C35" s="7"/>
      <x:c r="D35" s="16"/>
      <x:c r="E35" s="7"/>
      <x:c r="F35" s="7"/>
      <x:c r="G35" s="11" t="str">
        <x:f>IF(COUNTA(A35:F35)=0,"",IF(OR(NOT(ISNUMBER(A35)),A35&lt;DATE('Resumo'!$B$6,1,1),A35&gt;=DATE('Resumo'!$B$6+1,1,1),B35="",C35="",NOT(ISNUMBER(D35)),E35="",F35&lt;&gt;"Sim"),"Pendente: dados ou comprovante","Completo"))</x:f>
      </x:c>
    </x:row>
    <x:row r="36" ht="24" customHeight="1">
      <x:c r="A36" s="14"/>
      <x:c r="B36" s="7"/>
      <x:c r="C36" s="7"/>
      <x:c r="D36" s="16"/>
      <x:c r="E36" s="7"/>
      <x:c r="F36" s="7"/>
      <x:c r="G36" s="11" t="str">
        <x:f>IF(COUNTA(A36:F36)=0,"",IF(OR(NOT(ISNUMBER(A36)),A36&lt;DATE('Resumo'!$B$6,1,1),A36&gt;=DATE('Resumo'!$B$6+1,1,1),B36="",C36="",NOT(ISNUMBER(D36)),E36="",F36&lt;&gt;"Sim"),"Pendente: dados ou comprovante","Completo"))</x:f>
      </x:c>
    </x:row>
    <x:row r="37" ht="24" customHeight="1">
      <x:c r="A37" s="14"/>
      <x:c r="B37" s="7"/>
      <x:c r="C37" s="7"/>
      <x:c r="D37" s="16"/>
      <x:c r="E37" s="7"/>
      <x:c r="F37" s="7"/>
      <x:c r="G37" s="11" t="str">
        <x:f>IF(COUNTA(A37:F37)=0,"",IF(OR(NOT(ISNUMBER(A37)),A37&lt;DATE('Resumo'!$B$6,1,1),A37&gt;=DATE('Resumo'!$B$6+1,1,1),B37="",C37="",NOT(ISNUMBER(D37)),E37="",F37&lt;&gt;"Sim"),"Pendente: dados ou comprovante","Completo"))</x:f>
      </x:c>
    </x:row>
    <x:row r="38" ht="24" customHeight="1">
      <x:c r="A38" s="14"/>
      <x:c r="B38" s="7"/>
      <x:c r="C38" s="7"/>
      <x:c r="D38" s="16"/>
      <x:c r="E38" s="7"/>
      <x:c r="F38" s="7"/>
      <x:c r="G38" s="11" t="str">
        <x:f>IF(COUNTA(A38:F38)=0,"",IF(OR(NOT(ISNUMBER(A38)),A38&lt;DATE('Resumo'!$B$6,1,1),A38&gt;=DATE('Resumo'!$B$6+1,1,1),B38="",C38="",NOT(ISNUMBER(D38)),E38="",F38&lt;&gt;"Sim"),"Pendente: dados ou comprovante","Completo"))</x:f>
      </x:c>
    </x:row>
    <x:row r="39" ht="24" customHeight="1">
      <x:c r="A39" s="14"/>
      <x:c r="B39" s="7"/>
      <x:c r="C39" s="7"/>
      <x:c r="D39" s="16"/>
      <x:c r="E39" s="7"/>
      <x:c r="F39" s="7"/>
      <x:c r="G39" s="11" t="str">
        <x:f>IF(COUNTA(A39:F39)=0,"",IF(OR(NOT(ISNUMBER(A39)),A39&lt;DATE('Resumo'!$B$6,1,1),A39&gt;=DATE('Resumo'!$B$6+1,1,1),B39="",C39="",NOT(ISNUMBER(D39)),E39="",F39&lt;&gt;"Sim"),"Pendente: dados ou comprovante","Completo"))</x:f>
      </x:c>
    </x:row>
    <x:row r="40" ht="24" customHeight="1">
      <x:c r="A40" s="14"/>
      <x:c r="B40" s="7"/>
      <x:c r="C40" s="7"/>
      <x:c r="D40" s="16"/>
      <x:c r="E40" s="7"/>
      <x:c r="F40" s="7"/>
      <x:c r="G40" s="11" t="str">
        <x:f>IF(COUNTA(A40:F40)=0,"",IF(OR(NOT(ISNUMBER(A40)),A40&lt;DATE('Resumo'!$B$6,1,1),A40&gt;=DATE('Resumo'!$B$6+1,1,1),B40="",C40="",NOT(ISNUMBER(D40)),E40="",F40&lt;&gt;"Sim"),"Pendente: dados ou comprovante","Completo"))</x:f>
      </x:c>
    </x:row>
    <x:row r="41" ht="24" customHeight="1">
      <x:c r="A41" s="14"/>
      <x:c r="B41" s="7"/>
      <x:c r="C41" s="7"/>
      <x:c r="D41" s="16"/>
      <x:c r="E41" s="7"/>
      <x:c r="F41" s="7"/>
      <x:c r="G41" s="11" t="str">
        <x:f>IF(COUNTA(A41:F41)=0,"",IF(OR(NOT(ISNUMBER(A41)),A41&lt;DATE('Resumo'!$B$6,1,1),A41&gt;=DATE('Resumo'!$B$6+1,1,1),B41="",C41="",NOT(ISNUMBER(D41)),E41="",F41&lt;&gt;"Sim"),"Pendente: dados ou comprovante","Completo"))</x:f>
      </x:c>
    </x:row>
    <x:row r="42" ht="24" customHeight="1">
      <x:c r="A42" s="14"/>
      <x:c r="B42" s="7"/>
      <x:c r="C42" s="7"/>
      <x:c r="D42" s="16"/>
      <x:c r="E42" s="7"/>
      <x:c r="F42" s="7"/>
      <x:c r="G42" s="11" t="str">
        <x:f>IF(COUNTA(A42:F42)=0,"",IF(OR(NOT(ISNUMBER(A42)),A42&lt;DATE('Resumo'!$B$6,1,1),A42&gt;=DATE('Resumo'!$B$6+1,1,1),B42="",C42="",NOT(ISNUMBER(D42)),E42="",F42&lt;&gt;"Sim"),"Pendente: dados ou comprovante","Completo"))</x:f>
      </x:c>
    </x:row>
    <x:row r="43" ht="24" customHeight="1">
      <x:c r="A43" s="14"/>
      <x:c r="B43" s="7"/>
      <x:c r="C43" s="7"/>
      <x:c r="D43" s="16"/>
      <x:c r="E43" s="7"/>
      <x:c r="F43" s="7"/>
      <x:c r="G43" s="11" t="str">
        <x:f>IF(COUNTA(A43:F43)=0,"",IF(OR(NOT(ISNUMBER(A43)),A43&lt;DATE('Resumo'!$B$6,1,1),A43&gt;=DATE('Resumo'!$B$6+1,1,1),B43="",C43="",NOT(ISNUMBER(D43)),E43="",F43&lt;&gt;"Sim"),"Pendente: dados ou comprovante","Completo"))</x:f>
      </x:c>
    </x:row>
    <x:row r="44" ht="24" customHeight="1">
      <x:c r="A44" s="14"/>
      <x:c r="B44" s="7"/>
      <x:c r="C44" s="7"/>
      <x:c r="D44" s="16"/>
      <x:c r="E44" s="7"/>
      <x:c r="F44" s="7"/>
      <x:c r="G44" s="11" t="str">
        <x:f>IF(COUNTA(A44:F44)=0,"",IF(OR(NOT(ISNUMBER(A44)),A44&lt;DATE('Resumo'!$B$6,1,1),A44&gt;=DATE('Resumo'!$B$6+1,1,1),B44="",C44="",NOT(ISNUMBER(D44)),E44="",F44&lt;&gt;"Sim"),"Pendente: dados ou comprovante","Completo"))</x:f>
      </x:c>
    </x:row>
    <x:row r="45" ht="24" customHeight="1">
      <x:c r="A45" s="14"/>
      <x:c r="B45" s="7"/>
      <x:c r="C45" s="7"/>
      <x:c r="D45" s="16"/>
      <x:c r="E45" s="7"/>
      <x:c r="F45" s="7"/>
      <x:c r="G45" s="11" t="str">
        <x:f>IF(COUNTA(A45:F45)=0,"",IF(OR(NOT(ISNUMBER(A45)),A45&lt;DATE('Resumo'!$B$6,1,1),A45&gt;=DATE('Resumo'!$B$6+1,1,1),B45="",C45="",NOT(ISNUMBER(D45)),E45="",F45&lt;&gt;"Sim"),"Pendente: dados ou comprovante","Completo"))</x:f>
      </x:c>
    </x:row>
    <x:row r="46" ht="24" customHeight="1">
      <x:c r="A46" s="14"/>
      <x:c r="B46" s="7"/>
      <x:c r="C46" s="7"/>
      <x:c r="D46" s="16"/>
      <x:c r="E46" s="7"/>
      <x:c r="F46" s="7"/>
      <x:c r="G46" s="11" t="str">
        <x:f>IF(COUNTA(A46:F46)=0,"",IF(OR(NOT(ISNUMBER(A46)),A46&lt;DATE('Resumo'!$B$6,1,1),A46&gt;=DATE('Resumo'!$B$6+1,1,1),B46="",C46="",NOT(ISNUMBER(D46)),E46="",F46&lt;&gt;"Sim"),"Pendente: dados ou comprovante","Completo"))</x:f>
      </x:c>
    </x:row>
    <x:row r="47" ht="24" customHeight="1">
      <x:c r="A47" s="14"/>
      <x:c r="B47" s="7"/>
      <x:c r="C47" s="7"/>
      <x:c r="D47" s="16"/>
      <x:c r="E47" s="7"/>
      <x:c r="F47" s="7"/>
      <x:c r="G47" s="11" t="str">
        <x:f>IF(COUNTA(A47:F47)=0,"",IF(OR(NOT(ISNUMBER(A47)),A47&lt;DATE('Resumo'!$B$6,1,1),A47&gt;=DATE('Resumo'!$B$6+1,1,1),B47="",C47="",NOT(ISNUMBER(D47)),E47="",F47&lt;&gt;"Sim"),"Pendente: dados ou comprovante","Completo"))</x:f>
      </x:c>
    </x:row>
    <x:row r="48" ht="24" customHeight="1">
      <x:c r="A48" s="14"/>
      <x:c r="B48" s="7"/>
      <x:c r="C48" s="7"/>
      <x:c r="D48" s="16"/>
      <x:c r="E48" s="7"/>
      <x:c r="F48" s="7"/>
      <x:c r="G48" s="11" t="str">
        <x:f>IF(COUNTA(A48:F48)=0,"",IF(OR(NOT(ISNUMBER(A48)),A48&lt;DATE('Resumo'!$B$6,1,1),A48&gt;=DATE('Resumo'!$B$6+1,1,1),B48="",C48="",NOT(ISNUMBER(D48)),E48="",F48&lt;&gt;"Sim"),"Pendente: dados ou comprovante","Completo"))</x:f>
      </x:c>
    </x:row>
    <x:row r="49" ht="24" customHeight="1">
      <x:c r="A49" s="14"/>
      <x:c r="B49" s="7"/>
      <x:c r="C49" s="7"/>
      <x:c r="D49" s="16"/>
      <x:c r="E49" s="7"/>
      <x:c r="F49" s="7"/>
      <x:c r="G49" s="11" t="str">
        <x:f>IF(COUNTA(A49:F49)=0,"",IF(OR(NOT(ISNUMBER(A49)),A49&lt;DATE('Resumo'!$B$6,1,1),A49&gt;=DATE('Resumo'!$B$6+1,1,1),B49="",C49="",NOT(ISNUMBER(D49)),E49="",F49&lt;&gt;"Sim"),"Pendente: dados ou comprovante","Completo"))</x:f>
      </x:c>
    </x:row>
    <x:row r="50" ht="24" customHeight="1">
      <x:c r="A50" s="14"/>
      <x:c r="B50" s="7"/>
      <x:c r="C50" s="7"/>
      <x:c r="D50" s="16"/>
      <x:c r="E50" s="7"/>
      <x:c r="F50" s="7"/>
      <x:c r="G50" s="11" t="str">
        <x:f>IF(COUNTA(A50:F50)=0,"",IF(OR(NOT(ISNUMBER(A50)),A50&lt;DATE('Resumo'!$B$6,1,1),A50&gt;=DATE('Resumo'!$B$6+1,1,1),B50="",C50="",NOT(ISNUMBER(D50)),E50="",F50&lt;&gt;"Sim"),"Pendente: dados ou comprovante","Completo"))</x:f>
      </x:c>
    </x:row>
    <x:row r="51" ht="24" customHeight="1">
      <x:c r="A51" s="14"/>
      <x:c r="B51" s="7"/>
      <x:c r="C51" s="7"/>
      <x:c r="D51" s="16"/>
      <x:c r="E51" s="7"/>
      <x:c r="F51" s="7"/>
      <x:c r="G51" s="11" t="str">
        <x:f>IF(COUNTA(A51:F51)=0,"",IF(OR(NOT(ISNUMBER(A51)),A51&lt;DATE('Resumo'!$B$6,1,1),A51&gt;=DATE('Resumo'!$B$6+1,1,1),B51="",C51="",NOT(ISNUMBER(D51)),E51="",F51&lt;&gt;"Sim"),"Pendente: dados ou comprovante","Completo"))</x:f>
      </x:c>
    </x:row>
    <x:row r="52" ht="24" customHeight="1">
      <x:c r="A52" s="14"/>
      <x:c r="B52" s="7"/>
      <x:c r="C52" s="7"/>
      <x:c r="D52" s="16"/>
      <x:c r="E52" s="7"/>
      <x:c r="F52" s="7"/>
      <x:c r="G52" s="11" t="str">
        <x:f>IF(COUNTA(A52:F52)=0,"",IF(OR(NOT(ISNUMBER(A52)),A52&lt;DATE('Resumo'!$B$6,1,1),A52&gt;=DATE('Resumo'!$B$6+1,1,1),B52="",C52="",NOT(ISNUMBER(D52)),E52="",F52&lt;&gt;"Sim"),"Pendente: dados ou comprovante","Completo"))</x:f>
      </x:c>
    </x:row>
    <x:row r="53" ht="24" customHeight="1">
      <x:c r="A53" s="14"/>
      <x:c r="B53" s="7"/>
      <x:c r="C53" s="7"/>
      <x:c r="D53" s="16"/>
      <x:c r="E53" s="7"/>
      <x:c r="F53" s="7"/>
      <x:c r="G53" s="11" t="str">
        <x:f>IF(COUNTA(A53:F53)=0,"",IF(OR(NOT(ISNUMBER(A53)),A53&lt;DATE('Resumo'!$B$6,1,1),A53&gt;=DATE('Resumo'!$B$6+1,1,1),B53="",C53="",NOT(ISNUMBER(D53)),E53="",F53&lt;&gt;"Sim"),"Pendente: dados ou comprovante","Completo"))</x:f>
      </x:c>
    </x:row>
    <x:row r="54" ht="24" customHeight="1">
      <x:c r="A54" s="14"/>
      <x:c r="B54" s="7"/>
      <x:c r="C54" s="7"/>
      <x:c r="D54" s="16"/>
      <x:c r="E54" s="7"/>
      <x:c r="F54" s="7"/>
      <x:c r="G54" s="11" t="str">
        <x:f>IF(COUNTA(A54:F54)=0,"",IF(OR(NOT(ISNUMBER(A54)),A54&lt;DATE('Resumo'!$B$6,1,1),A54&gt;=DATE('Resumo'!$B$6+1,1,1),B54="",C54="",NOT(ISNUMBER(D54)),E54="",F54&lt;&gt;"Sim"),"Pendente: dados ou comprovante","Completo"))</x:f>
      </x:c>
    </x:row>
    <x:row r="55" ht="24" customHeight="1">
      <x:c r="A55" s="14"/>
      <x:c r="B55" s="7"/>
      <x:c r="C55" s="7"/>
      <x:c r="D55" s="16"/>
      <x:c r="E55" s="7"/>
      <x:c r="F55" s="7"/>
      <x:c r="G55" s="11" t="str">
        <x:f>IF(COUNTA(A55:F55)=0,"",IF(OR(NOT(ISNUMBER(A55)),A55&lt;DATE('Resumo'!$B$6,1,1),A55&gt;=DATE('Resumo'!$B$6+1,1,1),B55="",C55="",NOT(ISNUMBER(D55)),E55="",F55&lt;&gt;"Sim"),"Pendente: dados ou comprovante","Completo"))</x:f>
      </x:c>
    </x:row>
    <x:row r="56" ht="24" customHeight="1">
      <x:c r="A56" s="14"/>
      <x:c r="B56" s="7"/>
      <x:c r="C56" s="7"/>
      <x:c r="D56" s="16"/>
      <x:c r="E56" s="7"/>
      <x:c r="F56" s="7"/>
      <x:c r="G56" s="11" t="str">
        <x:f>IF(COUNTA(A56:F56)=0,"",IF(OR(NOT(ISNUMBER(A56)),A56&lt;DATE('Resumo'!$B$6,1,1),A56&gt;=DATE('Resumo'!$B$6+1,1,1),B56="",C56="",NOT(ISNUMBER(D56)),E56="",F56&lt;&gt;"Sim"),"Pendente: dados ou comprovante","Completo"))</x:f>
      </x:c>
    </x:row>
    <x:row r="57" ht="24" customHeight="1">
      <x:c r="A57" s="14"/>
      <x:c r="B57" s="7"/>
      <x:c r="C57" s="7"/>
      <x:c r="D57" s="16"/>
      <x:c r="E57" s="7"/>
      <x:c r="F57" s="7"/>
      <x:c r="G57" s="11" t="str">
        <x:f>IF(COUNTA(A57:F57)=0,"",IF(OR(NOT(ISNUMBER(A57)),A57&lt;DATE('Resumo'!$B$6,1,1),A57&gt;=DATE('Resumo'!$B$6+1,1,1),B57="",C57="",NOT(ISNUMBER(D57)),E57="",F57&lt;&gt;"Sim"),"Pendente: dados ou comprovante","Completo"))</x:f>
      </x:c>
    </x:row>
    <x:row r="58" ht="24" customHeight="1">
      <x:c r="A58" s="14"/>
      <x:c r="B58" s="7"/>
      <x:c r="C58" s="7"/>
      <x:c r="D58" s="16"/>
      <x:c r="E58" s="7"/>
      <x:c r="F58" s="7"/>
      <x:c r="G58" s="11" t="str">
        <x:f>IF(COUNTA(A58:F58)=0,"",IF(OR(NOT(ISNUMBER(A58)),A58&lt;DATE('Resumo'!$B$6,1,1),A58&gt;=DATE('Resumo'!$B$6+1,1,1),B58="",C58="",NOT(ISNUMBER(D58)),E58="",F58&lt;&gt;"Sim"),"Pendente: dados ou comprovante","Completo"))</x:f>
      </x:c>
    </x:row>
    <x:row r="59" ht="24" customHeight="1">
      <x:c r="A59" s="14"/>
      <x:c r="B59" s="7"/>
      <x:c r="C59" s="7"/>
      <x:c r="D59" s="16"/>
      <x:c r="E59" s="7"/>
      <x:c r="F59" s="7"/>
      <x:c r="G59" s="11" t="str">
        <x:f>IF(COUNTA(A59:F59)=0,"",IF(OR(NOT(ISNUMBER(A59)),A59&lt;DATE('Resumo'!$B$6,1,1),A59&gt;=DATE('Resumo'!$B$6+1,1,1),B59="",C59="",NOT(ISNUMBER(D59)),E59="",F59&lt;&gt;"Sim"),"Pendente: dados ou comprovante","Completo"))</x:f>
      </x:c>
    </x:row>
    <x:row r="60" ht="24" customHeight="1">
      <x:c r="A60" s="14"/>
      <x:c r="B60" s="7"/>
      <x:c r="C60" s="7"/>
      <x:c r="D60" s="16"/>
      <x:c r="E60" s="7"/>
      <x:c r="F60" s="7"/>
      <x:c r="G60" s="11" t="str">
        <x:f>IF(COUNTA(A60:F60)=0,"",IF(OR(NOT(ISNUMBER(A60)),A60&lt;DATE('Resumo'!$B$6,1,1),A60&gt;=DATE('Resumo'!$B$6+1,1,1),B60="",C60="",NOT(ISNUMBER(D60)),E60="",F60&lt;&gt;"Sim"),"Pendente: dados ou comprovante","Completo"))</x:f>
      </x:c>
    </x:row>
    <x:row r="61" ht="24" customHeight="1">
      <x:c r="A61" s="14"/>
      <x:c r="B61" s="7"/>
      <x:c r="C61" s="7"/>
      <x:c r="D61" s="16"/>
      <x:c r="E61" s="7"/>
      <x:c r="F61" s="7"/>
      <x:c r="G61" s="11" t="str">
        <x:f>IF(COUNTA(A61:F61)=0,"",IF(OR(NOT(ISNUMBER(A61)),A61&lt;DATE('Resumo'!$B$6,1,1),A61&gt;=DATE('Resumo'!$B$6+1,1,1),B61="",C61="",NOT(ISNUMBER(D61)),E61="",F61&lt;&gt;"Sim"),"Pendente: dados ou comprovante","Completo"))</x:f>
      </x:c>
    </x:row>
    <x:row r="62" ht="24" customHeight="1">
      <x:c r="A62" s="14"/>
      <x:c r="B62" s="7"/>
      <x:c r="C62" s="7"/>
      <x:c r="D62" s="16"/>
      <x:c r="E62" s="7"/>
      <x:c r="F62" s="7"/>
      <x:c r="G62" s="11" t="str">
        <x:f>IF(COUNTA(A62:F62)=0,"",IF(OR(NOT(ISNUMBER(A62)),A62&lt;DATE('Resumo'!$B$6,1,1),A62&gt;=DATE('Resumo'!$B$6+1,1,1),B62="",C62="",NOT(ISNUMBER(D62)),E62="",F62&lt;&gt;"Sim"),"Pendente: dados ou comprovante","Completo"))</x:f>
      </x:c>
    </x:row>
    <x:row r="63" ht="24" customHeight="1">
      <x:c r="A63" s="14"/>
      <x:c r="B63" s="7"/>
      <x:c r="C63" s="7"/>
      <x:c r="D63" s="16"/>
      <x:c r="E63" s="7"/>
      <x:c r="F63" s="7"/>
      <x:c r="G63" s="11" t="str">
        <x:f>IF(COUNTA(A63:F63)=0,"",IF(OR(NOT(ISNUMBER(A63)),A63&lt;DATE('Resumo'!$B$6,1,1),A63&gt;=DATE('Resumo'!$B$6+1,1,1),B63="",C63="",NOT(ISNUMBER(D63)),E63="",F63&lt;&gt;"Sim"),"Pendente: dados ou comprovante","Completo"))</x:f>
      </x:c>
    </x:row>
    <x:row r="64" ht="24" customHeight="1">
      <x:c r="A64" s="14"/>
      <x:c r="B64" s="7"/>
      <x:c r="C64" s="7"/>
      <x:c r="D64" s="16"/>
      <x:c r="E64" s="7"/>
      <x:c r="F64" s="7"/>
      <x:c r="G64" s="11" t="str">
        <x:f>IF(COUNTA(A64:F64)=0,"",IF(OR(NOT(ISNUMBER(A64)),A64&lt;DATE('Resumo'!$B$6,1,1),A64&gt;=DATE('Resumo'!$B$6+1,1,1),B64="",C64="",NOT(ISNUMBER(D64)),E64="",F64&lt;&gt;"Sim"),"Pendente: dados ou comprovante","Completo"))</x:f>
      </x:c>
    </x:row>
    <x:row r="65" ht="24" customHeight="1">
      <x:c r="A65" s="14"/>
      <x:c r="B65" s="7"/>
      <x:c r="C65" s="7"/>
      <x:c r="D65" s="16"/>
      <x:c r="E65" s="7"/>
      <x:c r="F65" s="7"/>
      <x:c r="G65" s="11" t="str">
        <x:f>IF(COUNTA(A65:F65)=0,"",IF(OR(NOT(ISNUMBER(A65)),A65&lt;DATE('Resumo'!$B$6,1,1),A65&gt;=DATE('Resumo'!$B$6+1,1,1),B65="",C65="",NOT(ISNUMBER(D65)),E65="",F65&lt;&gt;"Sim"),"Pendente: dados ou comprovante","Completo"))</x:f>
      </x:c>
    </x:row>
    <x:row r="66" ht="24" customHeight="1">
      <x:c r="A66" s="14"/>
      <x:c r="B66" s="7"/>
      <x:c r="C66" s="7"/>
      <x:c r="D66" s="16"/>
      <x:c r="E66" s="7"/>
      <x:c r="F66" s="7"/>
      <x:c r="G66" s="11" t="str">
        <x:f>IF(COUNTA(A66:F66)=0,"",IF(OR(NOT(ISNUMBER(A66)),A66&lt;DATE('Resumo'!$B$6,1,1),A66&gt;=DATE('Resumo'!$B$6+1,1,1),B66="",C66="",NOT(ISNUMBER(D66)),E66="",F66&lt;&gt;"Sim"),"Pendente: dados ou comprovante","Completo"))</x:f>
      </x:c>
    </x:row>
    <x:row r="67" ht="24" customHeight="1">
      <x:c r="A67" s="14"/>
      <x:c r="B67" s="7"/>
      <x:c r="C67" s="7"/>
      <x:c r="D67" s="16"/>
      <x:c r="E67" s="7"/>
      <x:c r="F67" s="7"/>
      <x:c r="G67" s="11" t="str">
        <x:f>IF(COUNTA(A67:F67)=0,"",IF(OR(NOT(ISNUMBER(A67)),A67&lt;DATE('Resumo'!$B$6,1,1),A67&gt;=DATE('Resumo'!$B$6+1,1,1),B67="",C67="",NOT(ISNUMBER(D67)),E67="",F67&lt;&gt;"Sim"),"Pendente: dados ou comprovante","Completo"))</x:f>
      </x:c>
    </x:row>
    <x:row r="68" ht="24" customHeight="1">
      <x:c r="A68" s="14"/>
      <x:c r="B68" s="7"/>
      <x:c r="C68" s="7"/>
      <x:c r="D68" s="16"/>
      <x:c r="E68" s="7"/>
      <x:c r="F68" s="7"/>
      <x:c r="G68" s="11" t="str">
        <x:f>IF(COUNTA(A68:F68)=0,"",IF(OR(NOT(ISNUMBER(A68)),A68&lt;DATE('Resumo'!$B$6,1,1),A68&gt;=DATE('Resumo'!$B$6+1,1,1),B68="",C68="",NOT(ISNUMBER(D68)),E68="",F68&lt;&gt;"Sim"),"Pendente: dados ou comprovante","Completo"))</x:f>
      </x:c>
    </x:row>
    <x:row r="69" ht="24" customHeight="1">
      <x:c r="A69" s="14"/>
      <x:c r="B69" s="7"/>
      <x:c r="C69" s="7"/>
      <x:c r="D69" s="16"/>
      <x:c r="E69" s="7"/>
      <x:c r="F69" s="7"/>
      <x:c r="G69" s="11" t="str">
        <x:f>IF(COUNTA(A69:F69)=0,"",IF(OR(NOT(ISNUMBER(A69)),A69&lt;DATE('Resumo'!$B$6,1,1),A69&gt;=DATE('Resumo'!$B$6+1,1,1),B69="",C69="",NOT(ISNUMBER(D69)),E69="",F69&lt;&gt;"Sim"),"Pendente: dados ou comprovante","Completo"))</x:f>
      </x:c>
    </x:row>
    <x:row r="70" ht="24" customHeight="1">
      <x:c r="A70" s="14"/>
      <x:c r="B70" s="7"/>
      <x:c r="C70" s="7"/>
      <x:c r="D70" s="16"/>
      <x:c r="E70" s="7"/>
      <x:c r="F70" s="7"/>
      <x:c r="G70" s="11" t="str">
        <x:f>IF(COUNTA(A70:F70)=0,"",IF(OR(NOT(ISNUMBER(A70)),A70&lt;DATE('Resumo'!$B$6,1,1),A70&gt;=DATE('Resumo'!$B$6+1,1,1),B70="",C70="",NOT(ISNUMBER(D70)),E70="",F70&lt;&gt;"Sim"),"Pendente: dados ou comprovante","Completo"))</x:f>
      </x:c>
    </x:row>
    <x:row r="71" ht="24" customHeight="1">
      <x:c r="A71" s="14"/>
      <x:c r="B71" s="7"/>
      <x:c r="C71" s="7"/>
      <x:c r="D71" s="16"/>
      <x:c r="E71" s="7"/>
      <x:c r="F71" s="7"/>
      <x:c r="G71" s="11" t="str">
        <x:f>IF(COUNTA(A71:F71)=0,"",IF(OR(NOT(ISNUMBER(A71)),A71&lt;DATE('Resumo'!$B$6,1,1),A71&gt;=DATE('Resumo'!$B$6+1,1,1),B71="",C71="",NOT(ISNUMBER(D71)),E71="",F71&lt;&gt;"Sim"),"Pendente: dados ou comprovante","Completo"))</x:f>
      </x:c>
    </x:row>
    <x:row r="72" ht="24" customHeight="1">
      <x:c r="A72" s="14"/>
      <x:c r="B72" s="7"/>
      <x:c r="C72" s="7"/>
      <x:c r="D72" s="16"/>
      <x:c r="E72" s="7"/>
      <x:c r="F72" s="7"/>
      <x:c r="G72" s="11" t="str">
        <x:f>IF(COUNTA(A72:F72)=0,"",IF(OR(NOT(ISNUMBER(A72)),A72&lt;DATE('Resumo'!$B$6,1,1),A72&gt;=DATE('Resumo'!$B$6+1,1,1),B72="",C72="",NOT(ISNUMBER(D72)),E72="",F72&lt;&gt;"Sim"),"Pendente: dados ou comprovante","Completo"))</x:f>
      </x:c>
    </x:row>
    <x:row r="73" ht="24" customHeight="1">
      <x:c r="A73" s="14"/>
      <x:c r="B73" s="7"/>
      <x:c r="C73" s="7"/>
      <x:c r="D73" s="16"/>
      <x:c r="E73" s="7"/>
      <x:c r="F73" s="7"/>
      <x:c r="G73" s="11" t="str">
        <x:f>IF(COUNTA(A73:F73)=0,"",IF(OR(NOT(ISNUMBER(A73)),A73&lt;DATE('Resumo'!$B$6,1,1),A73&gt;=DATE('Resumo'!$B$6+1,1,1),B73="",C73="",NOT(ISNUMBER(D73)),E73="",F73&lt;&gt;"Sim"),"Pendente: dados ou comprovante","Completo"))</x:f>
      </x:c>
    </x:row>
    <x:row r="74" ht="24" customHeight="1">
      <x:c r="A74" s="14"/>
      <x:c r="B74" s="7"/>
      <x:c r="C74" s="7"/>
      <x:c r="D74" s="16"/>
      <x:c r="E74" s="7"/>
      <x:c r="F74" s="7"/>
      <x:c r="G74" s="11" t="str">
        <x:f>IF(COUNTA(A74:F74)=0,"",IF(OR(NOT(ISNUMBER(A74)),A74&lt;DATE('Resumo'!$B$6,1,1),A74&gt;=DATE('Resumo'!$B$6+1,1,1),B74="",C74="",NOT(ISNUMBER(D74)),E74="",F74&lt;&gt;"Sim"),"Pendente: dados ou comprovante","Completo"))</x:f>
      </x:c>
    </x:row>
    <x:row r="75" ht="24" customHeight="1">
      <x:c r="A75" s="14"/>
      <x:c r="B75" s="7"/>
      <x:c r="C75" s="7"/>
      <x:c r="D75" s="16"/>
      <x:c r="E75" s="7"/>
      <x:c r="F75" s="7"/>
      <x:c r="G75" s="11" t="str">
        <x:f>IF(COUNTA(A75:F75)=0,"",IF(OR(NOT(ISNUMBER(A75)),A75&lt;DATE('Resumo'!$B$6,1,1),A75&gt;=DATE('Resumo'!$B$6+1,1,1),B75="",C75="",NOT(ISNUMBER(D75)),E75="",F75&lt;&gt;"Sim"),"Pendente: dados ou comprovante","Completo"))</x:f>
      </x:c>
    </x:row>
    <x:row r="76" ht="24" customHeight="1">
      <x:c r="A76" s="14"/>
      <x:c r="B76" s="7"/>
      <x:c r="C76" s="7"/>
      <x:c r="D76" s="16"/>
      <x:c r="E76" s="7"/>
      <x:c r="F76" s="7"/>
      <x:c r="G76" s="11" t="str">
        <x:f>IF(COUNTA(A76:F76)=0,"",IF(OR(NOT(ISNUMBER(A76)),A76&lt;DATE('Resumo'!$B$6,1,1),A76&gt;=DATE('Resumo'!$B$6+1,1,1),B76="",C76="",NOT(ISNUMBER(D76)),E76="",F76&lt;&gt;"Sim"),"Pendente: dados ou comprovante","Completo"))</x:f>
      </x:c>
    </x:row>
    <x:row r="77" ht="24" customHeight="1">
      <x:c r="A77" s="14"/>
      <x:c r="B77" s="7"/>
      <x:c r="C77" s="7"/>
      <x:c r="D77" s="16"/>
      <x:c r="E77" s="7"/>
      <x:c r="F77" s="7"/>
      <x:c r="G77" s="11" t="str">
        <x:f>IF(COUNTA(A77:F77)=0,"",IF(OR(NOT(ISNUMBER(A77)),A77&lt;DATE('Resumo'!$B$6,1,1),A77&gt;=DATE('Resumo'!$B$6+1,1,1),B77="",C77="",NOT(ISNUMBER(D77)),E77="",F77&lt;&gt;"Sim"),"Pendente: dados ou comprovante","Completo"))</x:f>
      </x:c>
    </x:row>
    <x:row r="78" ht="24" customHeight="1">
      <x:c r="A78" s="14"/>
      <x:c r="B78" s="7"/>
      <x:c r="C78" s="7"/>
      <x:c r="D78" s="16"/>
      <x:c r="E78" s="7"/>
      <x:c r="F78" s="7"/>
      <x:c r="G78" s="11" t="str">
        <x:f>IF(COUNTA(A78:F78)=0,"",IF(OR(NOT(ISNUMBER(A78)),A78&lt;DATE('Resumo'!$B$6,1,1),A78&gt;=DATE('Resumo'!$B$6+1,1,1),B78="",C78="",NOT(ISNUMBER(D78)),E78="",F78&lt;&gt;"Sim"),"Pendente: dados ou comprovante","Completo"))</x:f>
      </x:c>
    </x:row>
    <x:row r="79" ht="24" customHeight="1">
      <x:c r="A79" s="14"/>
      <x:c r="B79" s="7"/>
      <x:c r="C79" s="7"/>
      <x:c r="D79" s="16"/>
      <x:c r="E79" s="7"/>
      <x:c r="F79" s="7"/>
      <x:c r="G79" s="11" t="str">
        <x:f>IF(COUNTA(A79:F79)=0,"",IF(OR(NOT(ISNUMBER(A79)),A79&lt;DATE('Resumo'!$B$6,1,1),A79&gt;=DATE('Resumo'!$B$6+1,1,1),B79="",C79="",NOT(ISNUMBER(D79)),E79="",F79&lt;&gt;"Sim"),"Pendente: dados ou comprovante","Completo"))</x:f>
      </x:c>
    </x:row>
    <x:row r="80" ht="24" customHeight="1">
      <x:c r="A80" s="14"/>
      <x:c r="B80" s="7"/>
      <x:c r="C80" s="7"/>
      <x:c r="D80" s="16"/>
      <x:c r="E80" s="7"/>
      <x:c r="F80" s="7"/>
      <x:c r="G80" s="11" t="str">
        <x:f>IF(COUNTA(A80:F80)=0,"",IF(OR(NOT(ISNUMBER(A80)),A80&lt;DATE('Resumo'!$B$6,1,1),A80&gt;=DATE('Resumo'!$B$6+1,1,1),B80="",C80="",NOT(ISNUMBER(D80)),E80="",F80&lt;&gt;"Sim"),"Pendente: dados ou comprovante","Completo"))</x:f>
      </x:c>
    </x:row>
    <x:row r="81" ht="24" customHeight="1">
      <x:c r="A81" s="14"/>
      <x:c r="B81" s="7"/>
      <x:c r="C81" s="7"/>
      <x:c r="D81" s="16"/>
      <x:c r="E81" s="7"/>
      <x:c r="F81" s="7"/>
      <x:c r="G81" s="11" t="str">
        <x:f>IF(COUNTA(A81:F81)=0,"",IF(OR(NOT(ISNUMBER(A81)),A81&lt;DATE('Resumo'!$B$6,1,1),A81&gt;=DATE('Resumo'!$B$6+1,1,1),B81="",C81="",NOT(ISNUMBER(D81)),E81="",F81&lt;&gt;"Sim"),"Pendente: dados ou comprovante","Completo"))</x:f>
      </x:c>
    </x:row>
    <x:row r="82" ht="24" customHeight="1">
      <x:c r="A82" s="14"/>
      <x:c r="B82" s="7"/>
      <x:c r="C82" s="7"/>
      <x:c r="D82" s="16"/>
      <x:c r="E82" s="7"/>
      <x:c r="F82" s="7"/>
      <x:c r="G82" s="11" t="str">
        <x:f>IF(COUNTA(A82:F82)=0,"",IF(OR(NOT(ISNUMBER(A82)),A82&lt;DATE('Resumo'!$B$6,1,1),A82&gt;=DATE('Resumo'!$B$6+1,1,1),B82="",C82="",NOT(ISNUMBER(D82)),E82="",F82&lt;&gt;"Sim"),"Pendente: dados ou comprovante","Completo"))</x:f>
      </x:c>
    </x:row>
    <x:row r="83" ht="24" customHeight="1">
      <x:c r="A83" s="14"/>
      <x:c r="B83" s="7"/>
      <x:c r="C83" s="7"/>
      <x:c r="D83" s="16"/>
      <x:c r="E83" s="7"/>
      <x:c r="F83" s="7"/>
      <x:c r="G83" s="11" t="str">
        <x:f>IF(COUNTA(A83:F83)=0,"",IF(OR(NOT(ISNUMBER(A83)),A83&lt;DATE('Resumo'!$B$6,1,1),A83&gt;=DATE('Resumo'!$B$6+1,1,1),B83="",C83="",NOT(ISNUMBER(D83)),E83="",F83&lt;&gt;"Sim"),"Pendente: dados ou comprovante","Completo"))</x:f>
      </x:c>
    </x:row>
    <x:row r="84" ht="24" customHeight="1">
      <x:c r="A84" s="14"/>
      <x:c r="B84" s="7"/>
      <x:c r="C84" s="7"/>
      <x:c r="D84" s="16"/>
      <x:c r="E84" s="7"/>
      <x:c r="F84" s="7"/>
      <x:c r="G84" s="11" t="str">
        <x:f>IF(COUNTA(A84:F84)=0,"",IF(OR(NOT(ISNUMBER(A84)),A84&lt;DATE('Resumo'!$B$6,1,1),A84&gt;=DATE('Resumo'!$B$6+1,1,1),B84="",C84="",NOT(ISNUMBER(D84)),E84="",F84&lt;&gt;"Sim"),"Pendente: dados ou comprovante","Completo"))</x:f>
      </x:c>
    </x:row>
    <x:row r="85" ht="24" customHeight="1">
      <x:c r="A85" s="14"/>
      <x:c r="B85" s="7"/>
      <x:c r="C85" s="7"/>
      <x:c r="D85" s="16"/>
      <x:c r="E85" s="7"/>
      <x:c r="F85" s="7"/>
      <x:c r="G85" s="11" t="str">
        <x:f>IF(COUNTA(A85:F85)=0,"",IF(OR(NOT(ISNUMBER(A85)),A85&lt;DATE('Resumo'!$B$6,1,1),A85&gt;=DATE('Resumo'!$B$6+1,1,1),B85="",C85="",NOT(ISNUMBER(D85)),E85="",F85&lt;&gt;"Sim"),"Pendente: dados ou comprovante","Completo"))</x:f>
      </x:c>
    </x:row>
    <x:row r="86" ht="24" customHeight="1">
      <x:c r="A86" s="14"/>
      <x:c r="B86" s="7"/>
      <x:c r="C86" s="7"/>
      <x:c r="D86" s="16"/>
      <x:c r="E86" s="7"/>
      <x:c r="F86" s="7"/>
      <x:c r="G86" s="11" t="str">
        <x:f>IF(COUNTA(A86:F86)=0,"",IF(OR(NOT(ISNUMBER(A86)),A86&lt;DATE('Resumo'!$B$6,1,1),A86&gt;=DATE('Resumo'!$B$6+1,1,1),B86="",C86="",NOT(ISNUMBER(D86)),E86="",F86&lt;&gt;"Sim"),"Pendente: dados ou comprovante","Completo"))</x:f>
      </x:c>
    </x:row>
    <x:row r="87" ht="24" customHeight="1">
      <x:c r="A87" s="14"/>
      <x:c r="B87" s="7"/>
      <x:c r="C87" s="7"/>
      <x:c r="D87" s="16"/>
      <x:c r="E87" s="7"/>
      <x:c r="F87" s="7"/>
      <x:c r="G87" s="11" t="str">
        <x:f>IF(COUNTA(A87:F87)=0,"",IF(OR(NOT(ISNUMBER(A87)),A87&lt;DATE('Resumo'!$B$6,1,1),A87&gt;=DATE('Resumo'!$B$6+1,1,1),B87="",C87="",NOT(ISNUMBER(D87)),E87="",F87&lt;&gt;"Sim"),"Pendente: dados ou comprovante","Completo"))</x:f>
      </x:c>
    </x:row>
    <x:row r="88" ht="24" customHeight="1">
      <x:c r="A88" s="14"/>
      <x:c r="B88" s="7"/>
      <x:c r="C88" s="7"/>
      <x:c r="D88" s="16"/>
      <x:c r="E88" s="7"/>
      <x:c r="F88" s="7"/>
      <x:c r="G88" s="11" t="str">
        <x:f>IF(COUNTA(A88:F88)=0,"",IF(OR(NOT(ISNUMBER(A88)),A88&lt;DATE('Resumo'!$B$6,1,1),A88&gt;=DATE('Resumo'!$B$6+1,1,1),B88="",C88="",NOT(ISNUMBER(D88)),E88="",F88&lt;&gt;"Sim"),"Pendente: dados ou comprovante","Completo"))</x:f>
      </x:c>
    </x:row>
    <x:row r="89" ht="24" customHeight="1">
      <x:c r="A89" s="14"/>
      <x:c r="B89" s="7"/>
      <x:c r="C89" s="7"/>
      <x:c r="D89" s="16"/>
      <x:c r="E89" s="7"/>
      <x:c r="F89" s="7"/>
      <x:c r="G89" s="11" t="str">
        <x:f>IF(COUNTA(A89:F89)=0,"",IF(OR(NOT(ISNUMBER(A89)),A89&lt;DATE('Resumo'!$B$6,1,1),A89&gt;=DATE('Resumo'!$B$6+1,1,1),B89="",C89="",NOT(ISNUMBER(D89)),E89="",F89&lt;&gt;"Sim"),"Pendente: dados ou comprovante","Completo"))</x:f>
      </x:c>
    </x:row>
    <x:row r="90" ht="24" customHeight="1">
      <x:c r="A90" s="14"/>
      <x:c r="B90" s="7"/>
      <x:c r="C90" s="7"/>
      <x:c r="D90" s="16"/>
      <x:c r="E90" s="7"/>
      <x:c r="F90" s="7"/>
      <x:c r="G90" s="11" t="str">
        <x:f>IF(COUNTA(A90:F90)=0,"",IF(OR(NOT(ISNUMBER(A90)),A90&lt;DATE('Resumo'!$B$6,1,1),A90&gt;=DATE('Resumo'!$B$6+1,1,1),B90="",C90="",NOT(ISNUMBER(D90)),E90="",F90&lt;&gt;"Sim"),"Pendente: dados ou comprovante","Completo"))</x:f>
      </x:c>
    </x:row>
    <x:row r="91" ht="24" customHeight="1">
      <x:c r="A91" s="14"/>
      <x:c r="B91" s="7"/>
      <x:c r="C91" s="7"/>
      <x:c r="D91" s="16"/>
      <x:c r="E91" s="7"/>
      <x:c r="F91" s="7"/>
      <x:c r="G91" s="11" t="str">
        <x:f>IF(COUNTA(A91:F91)=0,"",IF(OR(NOT(ISNUMBER(A91)),A91&lt;DATE('Resumo'!$B$6,1,1),A91&gt;=DATE('Resumo'!$B$6+1,1,1),B91="",C91="",NOT(ISNUMBER(D91)),E91="",F91&lt;&gt;"Sim"),"Pendente: dados ou comprovante","Completo"))</x:f>
      </x:c>
    </x:row>
    <x:row r="92" ht="24" customHeight="1">
      <x:c r="A92" s="14"/>
      <x:c r="B92" s="7"/>
      <x:c r="C92" s="7"/>
      <x:c r="D92" s="16"/>
      <x:c r="E92" s="7"/>
      <x:c r="F92" s="7"/>
      <x:c r="G92" s="11" t="str">
        <x:f>IF(COUNTA(A92:F92)=0,"",IF(OR(NOT(ISNUMBER(A92)),A92&lt;DATE('Resumo'!$B$6,1,1),A92&gt;=DATE('Resumo'!$B$6+1,1,1),B92="",C92="",NOT(ISNUMBER(D92)),E92="",F92&lt;&gt;"Sim"),"Pendente: dados ou comprovante","Completo"))</x:f>
      </x:c>
    </x:row>
    <x:row r="93" ht="24" customHeight="1">
      <x:c r="A93" s="14"/>
      <x:c r="B93" s="7"/>
      <x:c r="C93" s="7"/>
      <x:c r="D93" s="16"/>
      <x:c r="E93" s="7"/>
      <x:c r="F93" s="7"/>
      <x:c r="G93" s="11" t="str">
        <x:f>IF(COUNTA(A93:F93)=0,"",IF(OR(NOT(ISNUMBER(A93)),A93&lt;DATE('Resumo'!$B$6,1,1),A93&gt;=DATE('Resumo'!$B$6+1,1,1),B93="",C93="",NOT(ISNUMBER(D93)),E93="",F93&lt;&gt;"Sim"),"Pendente: dados ou comprovante","Completo"))</x:f>
      </x:c>
    </x:row>
    <x:row r="94" ht="24" customHeight="1">
      <x:c r="A94" s="14"/>
      <x:c r="B94" s="7"/>
      <x:c r="C94" s="7"/>
      <x:c r="D94" s="16"/>
      <x:c r="E94" s="7"/>
      <x:c r="F94" s="7"/>
      <x:c r="G94" s="11" t="str">
        <x:f>IF(COUNTA(A94:F94)=0,"",IF(OR(NOT(ISNUMBER(A94)),A94&lt;DATE('Resumo'!$B$6,1,1),A94&gt;=DATE('Resumo'!$B$6+1,1,1),B94="",C94="",NOT(ISNUMBER(D94)),E94="",F94&lt;&gt;"Sim"),"Pendente: dados ou comprovante","Completo"))</x:f>
      </x:c>
    </x:row>
    <x:row r="95" ht="24" customHeight="1">
      <x:c r="A95" s="14"/>
      <x:c r="B95" s="7"/>
      <x:c r="C95" s="7"/>
      <x:c r="D95" s="16"/>
      <x:c r="E95" s="7"/>
      <x:c r="F95" s="7"/>
      <x:c r="G95" s="11" t="str">
        <x:f>IF(COUNTA(A95:F95)=0,"",IF(OR(NOT(ISNUMBER(A95)),A95&lt;DATE('Resumo'!$B$6,1,1),A95&gt;=DATE('Resumo'!$B$6+1,1,1),B95="",C95="",NOT(ISNUMBER(D95)),E95="",F95&lt;&gt;"Sim"),"Pendente: dados ou comprovante","Completo"))</x:f>
      </x:c>
    </x:row>
    <x:row r="96" ht="24" customHeight="1">
      <x:c r="A96" s="14"/>
      <x:c r="B96" s="7"/>
      <x:c r="C96" s="7"/>
      <x:c r="D96" s="16"/>
      <x:c r="E96" s="7"/>
      <x:c r="F96" s="7"/>
      <x:c r="G96" s="11" t="str">
        <x:f>IF(COUNTA(A96:F96)=0,"",IF(OR(NOT(ISNUMBER(A96)),A96&lt;DATE('Resumo'!$B$6,1,1),A96&gt;=DATE('Resumo'!$B$6+1,1,1),B96="",C96="",NOT(ISNUMBER(D96)),E96="",F96&lt;&gt;"Sim"),"Pendente: dados ou comprovante","Completo"))</x:f>
      </x:c>
    </x:row>
    <x:row r="97" ht="24" customHeight="1">
      <x:c r="A97" s="14"/>
      <x:c r="B97" s="7"/>
      <x:c r="C97" s="7"/>
      <x:c r="D97" s="16"/>
      <x:c r="E97" s="7"/>
      <x:c r="F97" s="7"/>
      <x:c r="G97" s="11" t="str">
        <x:f>IF(COUNTA(A97:F97)=0,"",IF(OR(NOT(ISNUMBER(A97)),A97&lt;DATE('Resumo'!$B$6,1,1),A97&gt;=DATE('Resumo'!$B$6+1,1,1),B97="",C97="",NOT(ISNUMBER(D97)),E97="",F97&lt;&gt;"Sim"),"Pendente: dados ou comprovante","Completo"))</x:f>
      </x:c>
    </x:row>
    <x:row r="98" ht="24" customHeight="1">
      <x:c r="A98" s="14"/>
      <x:c r="B98" s="7"/>
      <x:c r="C98" s="7"/>
      <x:c r="D98" s="16"/>
      <x:c r="E98" s="7"/>
      <x:c r="F98" s="7"/>
      <x:c r="G98" s="11" t="str">
        <x:f>IF(COUNTA(A98:F98)=0,"",IF(OR(NOT(ISNUMBER(A98)),A98&lt;DATE('Resumo'!$B$6,1,1),A98&gt;=DATE('Resumo'!$B$6+1,1,1),B98="",C98="",NOT(ISNUMBER(D98)),E98="",F98&lt;&gt;"Sim"),"Pendente: dados ou comprovante","Completo"))</x:f>
      </x:c>
    </x:row>
    <x:row r="99" ht="24" customHeight="1">
      <x:c r="A99" s="14"/>
      <x:c r="B99" s="7"/>
      <x:c r="C99" s="7"/>
      <x:c r="D99" s="16"/>
      <x:c r="E99" s="7"/>
      <x:c r="F99" s="7"/>
      <x:c r="G99" s="11" t="str">
        <x:f>IF(COUNTA(A99:F99)=0,"",IF(OR(NOT(ISNUMBER(A99)),A99&lt;DATE('Resumo'!$B$6,1,1),A99&gt;=DATE('Resumo'!$B$6+1,1,1),B99="",C99="",NOT(ISNUMBER(D99)),E99="",F99&lt;&gt;"Sim"),"Pendente: dados ou comprovante","Completo"))</x:f>
      </x:c>
    </x:row>
    <x:row r="100" ht="24" customHeight="1">
      <x:c r="A100" s="14"/>
      <x:c r="B100" s="7"/>
      <x:c r="C100" s="7"/>
      <x:c r="D100" s="16"/>
      <x:c r="E100" s="7"/>
      <x:c r="F100" s="7"/>
      <x:c r="G100" s="11" t="str">
        <x:f>IF(COUNTA(A100:F100)=0,"",IF(OR(NOT(ISNUMBER(A100)),A100&lt;DATE('Resumo'!$B$6,1,1),A100&gt;=DATE('Resumo'!$B$6+1,1,1),B100="",C100="",NOT(ISNUMBER(D100)),E100="",F100&lt;&gt;"Sim"),"Pendente: dados ou comprovante","Completo"))</x:f>
      </x:c>
    </x:row>
    <x:row r="101" ht="24" customHeight="1">
      <x:c r="A101" s="14"/>
      <x:c r="B101" s="7"/>
      <x:c r="C101" s="7"/>
      <x:c r="D101" s="16"/>
      <x:c r="E101" s="7"/>
      <x:c r="F101" s="7"/>
      <x:c r="G101" s="11" t="str">
        <x:f>IF(COUNTA(A101:F101)=0,"",IF(OR(NOT(ISNUMBER(A101)),A101&lt;DATE('Resumo'!$B$6,1,1),A101&gt;=DATE('Resumo'!$B$6+1,1,1),B101="",C101="",NOT(ISNUMBER(D101)),E101="",F101&lt;&gt;"Sim"),"Pendente: dados ou comprovante","Completo"))</x:f>
      </x:c>
    </x:row>
    <x:row r="102" ht="24" customHeight="1">
      <x:c r="A102" s="14"/>
      <x:c r="B102" s="7"/>
      <x:c r="C102" s="7"/>
      <x:c r="D102" s="16"/>
      <x:c r="E102" s="7"/>
      <x:c r="F102" s="7"/>
      <x:c r="G102" s="11" t="str">
        <x:f>IF(COUNTA(A102:F102)=0,"",IF(OR(NOT(ISNUMBER(A102)),A102&lt;DATE('Resumo'!$B$6,1,1),A102&gt;=DATE('Resumo'!$B$6+1,1,1),B102="",C102="",NOT(ISNUMBER(D102)),E102="",F102&lt;&gt;"Sim"),"Pendente: dados ou comprovante","Completo"))</x:f>
      </x:c>
    </x:row>
    <x:row r="103" ht="24" customHeight="1">
      <x:c r="A103" s="14"/>
      <x:c r="B103" s="7"/>
      <x:c r="C103" s="7"/>
      <x:c r="D103" s="16"/>
      <x:c r="E103" s="7"/>
      <x:c r="F103" s="7"/>
      <x:c r="G103" s="11" t="str">
        <x:f>IF(COUNTA(A103:F103)=0,"",IF(OR(NOT(ISNUMBER(A103)),A103&lt;DATE('Resumo'!$B$6,1,1),A103&gt;=DATE('Resumo'!$B$6+1,1,1),B103="",C103="",NOT(ISNUMBER(D103)),E103="",F103&lt;&gt;"Sim"),"Pendente: dados ou comprovante","Completo"))</x:f>
      </x:c>
    </x:row>
    <x:row r="104" ht="24" customHeight="1">
      <x:c r="A104" s="14"/>
      <x:c r="B104" s="7"/>
      <x:c r="C104" s="7"/>
      <x:c r="D104" s="16"/>
      <x:c r="E104" s="7"/>
      <x:c r="F104" s="7"/>
      <x:c r="G104" s="11" t="str">
        <x:f>IF(COUNTA(A104:F104)=0,"",IF(OR(NOT(ISNUMBER(A104)),A104&lt;DATE('Resumo'!$B$6,1,1),A104&gt;=DATE('Resumo'!$B$6+1,1,1),B104="",C104="",NOT(ISNUMBER(D104)),E104="",F104&lt;&gt;"Sim"),"Pendente: dados ou comprovante","Completo"))</x:f>
      </x:c>
    </x:row>
    <x:row r="105" ht="24" customHeight="1">
      <x:c r="A105" s="14"/>
      <x:c r="B105" s="7"/>
      <x:c r="C105" s="7"/>
      <x:c r="D105" s="16"/>
      <x:c r="E105" s="7"/>
      <x:c r="F105" s="7"/>
      <x:c r="G105" s="11" t="str">
        <x:f>IF(COUNTA(A105:F105)=0,"",IF(OR(NOT(ISNUMBER(A105)),A105&lt;DATE('Resumo'!$B$6,1,1),A105&gt;=DATE('Resumo'!$B$6+1,1,1),B105="",C105="",NOT(ISNUMBER(D105)),E105="",F105&lt;&gt;"Sim"),"Pendente: dados ou comprovante","Completo"))</x:f>
      </x:c>
    </x:row>
    <x:row r="106" ht="24" customHeight="1">
      <x:c r="A106" s="14"/>
      <x:c r="B106" s="7"/>
      <x:c r="C106" s="7"/>
      <x:c r="D106" s="16"/>
      <x:c r="E106" s="7"/>
      <x:c r="F106" s="7"/>
      <x:c r="G106" s="11" t="str">
        <x:f>IF(COUNTA(A106:F106)=0,"",IF(OR(NOT(ISNUMBER(A106)),A106&lt;DATE('Resumo'!$B$6,1,1),A106&gt;=DATE('Resumo'!$B$6+1,1,1),B106="",C106="",NOT(ISNUMBER(D106)),E106="",F106&lt;&gt;"Sim"),"Pendente: dados ou comprovante","Completo"))</x:f>
      </x:c>
    </x:row>
    <x:row r="107" ht="24" customHeight="1">
      <x:c r="A107" s="14"/>
      <x:c r="B107" s="7"/>
      <x:c r="C107" s="7"/>
      <x:c r="D107" s="16"/>
      <x:c r="E107" s="7"/>
      <x:c r="F107" s="7"/>
      <x:c r="G107" s="11" t="str">
        <x:f>IF(COUNTA(A107:F107)=0,"",IF(OR(NOT(ISNUMBER(A107)),A107&lt;DATE('Resumo'!$B$6,1,1),A107&gt;=DATE('Resumo'!$B$6+1,1,1),B107="",C107="",NOT(ISNUMBER(D107)),E107="",F107&lt;&gt;"Sim"),"Pendente: dados ou comprovante","Completo"))</x:f>
      </x:c>
    </x:row>
    <x:row r="108" ht="24" customHeight="1">
      <x:c r="A108" s="14"/>
      <x:c r="B108" s="7"/>
      <x:c r="C108" s="7"/>
      <x:c r="D108" s="16"/>
      <x:c r="E108" s="7"/>
      <x:c r="F108" s="7"/>
      <x:c r="G108" s="11" t="str">
        <x:f>IF(COUNTA(A108:F108)=0,"",IF(OR(NOT(ISNUMBER(A108)),A108&lt;DATE('Resumo'!$B$6,1,1),A108&gt;=DATE('Resumo'!$B$6+1,1,1),B108="",C108="",NOT(ISNUMBER(D108)),E108="",F108&lt;&gt;"Sim"),"Pendente: dados ou comprovante","Completo"))</x:f>
      </x:c>
    </x:row>
    <x:row r="109" ht="24" customHeight="1">
      <x:c r="A109" s="14"/>
      <x:c r="B109" s="7"/>
      <x:c r="C109" s="7"/>
      <x:c r="D109" s="16"/>
      <x:c r="E109" s="7"/>
      <x:c r="F109" s="7"/>
      <x:c r="G109" s="11" t="str">
        <x:f>IF(COUNTA(A109:F109)=0,"",IF(OR(NOT(ISNUMBER(A109)),A109&lt;DATE('Resumo'!$B$6,1,1),A109&gt;=DATE('Resumo'!$B$6+1,1,1),B109="",C109="",NOT(ISNUMBER(D109)),E109="",F109&lt;&gt;"Sim"),"Pendente: dados ou comprovante","Completo"))</x:f>
      </x:c>
    </x:row>
    <x:row r="110" ht="24" customHeight="1">
      <x:c r="A110" s="14"/>
      <x:c r="B110" s="7"/>
      <x:c r="C110" s="7"/>
      <x:c r="D110" s="16"/>
      <x:c r="E110" s="7"/>
      <x:c r="F110" s="7"/>
      <x:c r="G110" s="11" t="str">
        <x:f>IF(COUNTA(A110:F110)=0,"",IF(OR(NOT(ISNUMBER(A110)),A110&lt;DATE('Resumo'!$B$6,1,1),A110&gt;=DATE('Resumo'!$B$6+1,1,1),B110="",C110="",NOT(ISNUMBER(D110)),E110="",F110&lt;&gt;"Sim"),"Pendente: dados ou comprovante","Completo"))</x:f>
      </x:c>
    </x:row>
    <x:row r="111" ht="24" customHeight="1">
      <x:c r="A111" s="14"/>
      <x:c r="B111" s="7"/>
      <x:c r="C111" s="7"/>
      <x:c r="D111" s="16"/>
      <x:c r="E111" s="7"/>
      <x:c r="F111" s="7"/>
      <x:c r="G111" s="11" t="str">
        <x:f>IF(COUNTA(A111:F111)=0,"",IF(OR(NOT(ISNUMBER(A111)),A111&lt;DATE('Resumo'!$B$6,1,1),A111&gt;=DATE('Resumo'!$B$6+1,1,1),B111="",C111="",NOT(ISNUMBER(D111)),E111="",F111&lt;&gt;"Sim"),"Pendente: dados ou comprovante","Completo"))</x:f>
      </x:c>
    </x:row>
    <x:row r="112" ht="24" customHeight="1">
      <x:c r="A112" s="14"/>
      <x:c r="B112" s="7"/>
      <x:c r="C112" s="7"/>
      <x:c r="D112" s="16"/>
      <x:c r="E112" s="7"/>
      <x:c r="F112" s="7"/>
      <x:c r="G112" s="11" t="str">
        <x:f>IF(COUNTA(A112:F112)=0,"",IF(OR(NOT(ISNUMBER(A112)),A112&lt;DATE('Resumo'!$B$6,1,1),A112&gt;=DATE('Resumo'!$B$6+1,1,1),B112="",C112="",NOT(ISNUMBER(D112)),E112="",F112&lt;&gt;"Sim"),"Pendente: dados ou comprovante","Completo"))</x:f>
      </x:c>
    </x:row>
    <x:row r="113" ht="24" customHeight="1">
      <x:c r="A113" s="14"/>
      <x:c r="B113" s="7"/>
      <x:c r="C113" s="7"/>
      <x:c r="D113" s="16"/>
      <x:c r="E113" s="7"/>
      <x:c r="F113" s="7"/>
      <x:c r="G113" s="11" t="str">
        <x:f>IF(COUNTA(A113:F113)=0,"",IF(OR(NOT(ISNUMBER(A113)),A113&lt;DATE('Resumo'!$B$6,1,1),A113&gt;=DATE('Resumo'!$B$6+1,1,1),B113="",C113="",NOT(ISNUMBER(D113)),E113="",F113&lt;&gt;"Sim"),"Pendente: dados ou comprovante","Completo"))</x:f>
      </x:c>
    </x:row>
    <x:row r="114" ht="24" customHeight="1">
      <x:c r="A114" s="14"/>
      <x:c r="B114" s="7"/>
      <x:c r="C114" s="7"/>
      <x:c r="D114" s="16"/>
      <x:c r="E114" s="7"/>
      <x:c r="F114" s="7"/>
      <x:c r="G114" s="11" t="str">
        <x:f>IF(COUNTA(A114:F114)=0,"",IF(OR(NOT(ISNUMBER(A114)),A114&lt;DATE('Resumo'!$B$6,1,1),A114&gt;=DATE('Resumo'!$B$6+1,1,1),B114="",C114="",NOT(ISNUMBER(D114)),E114="",F114&lt;&gt;"Sim"),"Pendente: dados ou comprovante","Completo"))</x:f>
      </x:c>
    </x:row>
    <x:row r="115" ht="24" customHeight="1">
      <x:c r="A115" s="14"/>
      <x:c r="B115" s="7"/>
      <x:c r="C115" s="7"/>
      <x:c r="D115" s="16"/>
      <x:c r="E115" s="7"/>
      <x:c r="F115" s="7"/>
      <x:c r="G115" s="11" t="str">
        <x:f>IF(COUNTA(A115:F115)=0,"",IF(OR(NOT(ISNUMBER(A115)),A115&lt;DATE('Resumo'!$B$6,1,1),A115&gt;=DATE('Resumo'!$B$6+1,1,1),B115="",C115="",NOT(ISNUMBER(D115)),E115="",F115&lt;&gt;"Sim"),"Pendente: dados ou comprovante","Completo"))</x:f>
      </x:c>
    </x:row>
    <x:row r="116" ht="24" customHeight="1">
      <x:c r="A116" s="14"/>
      <x:c r="B116" s="7"/>
      <x:c r="C116" s="7"/>
      <x:c r="D116" s="16"/>
      <x:c r="E116" s="7"/>
      <x:c r="F116" s="7"/>
      <x:c r="G116" s="11" t="str">
        <x:f>IF(COUNTA(A116:F116)=0,"",IF(OR(NOT(ISNUMBER(A116)),A116&lt;DATE('Resumo'!$B$6,1,1),A116&gt;=DATE('Resumo'!$B$6+1,1,1),B116="",C116="",NOT(ISNUMBER(D116)),E116="",F116&lt;&gt;"Sim"),"Pendente: dados ou comprovante","Completo"))</x:f>
      </x:c>
    </x:row>
    <x:row r="117" ht="24" customHeight="1">
      <x:c r="A117" s="14"/>
      <x:c r="B117" s="7"/>
      <x:c r="C117" s="7"/>
      <x:c r="D117" s="16"/>
      <x:c r="E117" s="7"/>
      <x:c r="F117" s="7"/>
      <x:c r="G117" s="11" t="str">
        <x:f>IF(COUNTA(A117:F117)=0,"",IF(OR(NOT(ISNUMBER(A117)),A117&lt;DATE('Resumo'!$B$6,1,1),A117&gt;=DATE('Resumo'!$B$6+1,1,1),B117="",C117="",NOT(ISNUMBER(D117)),E117="",F117&lt;&gt;"Sim"),"Pendente: dados ou comprovante","Completo"))</x:f>
      </x:c>
    </x:row>
    <x:row r="118" ht="24" customHeight="1">
      <x:c r="A118" s="14"/>
      <x:c r="B118" s="7"/>
      <x:c r="C118" s="7"/>
      <x:c r="D118" s="16"/>
      <x:c r="E118" s="7"/>
      <x:c r="F118" s="7"/>
      <x:c r="G118" s="11" t="str">
        <x:f>IF(COUNTA(A118:F118)=0,"",IF(OR(NOT(ISNUMBER(A118)),A118&lt;DATE('Resumo'!$B$6,1,1),A118&gt;=DATE('Resumo'!$B$6+1,1,1),B118="",C118="",NOT(ISNUMBER(D118)),E118="",F118&lt;&gt;"Sim"),"Pendente: dados ou comprovante","Completo"))</x:f>
      </x:c>
    </x:row>
    <x:row r="119" ht="24" customHeight="1">
      <x:c r="A119" s="14"/>
      <x:c r="B119" s="7"/>
      <x:c r="C119" s="7"/>
      <x:c r="D119" s="16"/>
      <x:c r="E119" s="7"/>
      <x:c r="F119" s="7"/>
      <x:c r="G119" s="11" t="str">
        <x:f>IF(COUNTA(A119:F119)=0,"",IF(OR(NOT(ISNUMBER(A119)),A119&lt;DATE('Resumo'!$B$6,1,1),A119&gt;=DATE('Resumo'!$B$6+1,1,1),B119="",C119="",NOT(ISNUMBER(D119)),E119="",F119&lt;&gt;"Sim"),"Pendente: dados ou comprovante","Completo"))</x:f>
      </x:c>
    </x:row>
    <x:row r="120" ht="24" customHeight="1">
      <x:c r="A120" s="14"/>
      <x:c r="B120" s="7"/>
      <x:c r="C120" s="7"/>
      <x:c r="D120" s="16"/>
      <x:c r="E120" s="7"/>
      <x:c r="F120" s="7"/>
      <x:c r="G120" s="11" t="str">
        <x:f>IF(COUNTA(A120:F120)=0,"",IF(OR(NOT(ISNUMBER(A120)),A120&lt;DATE('Resumo'!$B$6,1,1),A120&gt;=DATE('Resumo'!$B$6+1,1,1),B120="",C120="",NOT(ISNUMBER(D120)),E120="",F120&lt;&gt;"Sim"),"Pendente: dados ou comprovante","Completo"))</x:f>
      </x:c>
    </x:row>
    <x:row r="121" ht="24" customHeight="1">
      <x:c r="A121" s="14"/>
      <x:c r="B121" s="7"/>
      <x:c r="C121" s="7"/>
      <x:c r="D121" s="16"/>
      <x:c r="E121" s="7"/>
      <x:c r="F121" s="7"/>
      <x:c r="G121" s="11" t="str">
        <x:f>IF(COUNTA(A121:F121)=0,"",IF(OR(NOT(ISNUMBER(A121)),A121&lt;DATE('Resumo'!$B$6,1,1),A121&gt;=DATE('Resumo'!$B$6+1,1,1),B121="",C121="",NOT(ISNUMBER(D121)),E121="",F121&lt;&gt;"Sim"),"Pendente: dados ou comprovante","Completo"))</x:f>
      </x:c>
    </x:row>
    <x:row r="122" ht="24" customHeight="1">
      <x:c r="A122" s="14"/>
      <x:c r="B122" s="7"/>
      <x:c r="C122" s="7"/>
      <x:c r="D122" s="16"/>
      <x:c r="E122" s="7"/>
      <x:c r="F122" s="7"/>
      <x:c r="G122" s="11" t="str">
        <x:f>IF(COUNTA(A122:F122)=0,"",IF(OR(NOT(ISNUMBER(A122)),A122&lt;DATE('Resumo'!$B$6,1,1),A122&gt;=DATE('Resumo'!$B$6+1,1,1),B122="",C122="",NOT(ISNUMBER(D122)),E122="",F122&lt;&gt;"Sim"),"Pendente: dados ou comprovante","Completo"))</x:f>
      </x:c>
    </x:row>
    <x:row r="123" ht="24" customHeight="1">
      <x:c r="A123" s="14"/>
      <x:c r="B123" s="7"/>
      <x:c r="C123" s="7"/>
      <x:c r="D123" s="16"/>
      <x:c r="E123" s="7"/>
      <x:c r="F123" s="7"/>
      <x:c r="G123" s="11" t="str">
        <x:f>IF(COUNTA(A123:F123)=0,"",IF(OR(NOT(ISNUMBER(A123)),A123&lt;DATE('Resumo'!$B$6,1,1),A123&gt;=DATE('Resumo'!$B$6+1,1,1),B123="",C123="",NOT(ISNUMBER(D123)),E123="",F123&lt;&gt;"Sim"),"Pendente: dados ou comprovante","Completo"))</x:f>
      </x:c>
    </x:row>
    <x:row r="124" ht="24" customHeight="1">
      <x:c r="A124" s="14"/>
      <x:c r="B124" s="7"/>
      <x:c r="C124" s="7"/>
      <x:c r="D124" s="16"/>
      <x:c r="E124" s="7"/>
      <x:c r="F124" s="7"/>
      <x:c r="G124" s="11" t="str">
        <x:f>IF(COUNTA(A124:F124)=0,"",IF(OR(NOT(ISNUMBER(A124)),A124&lt;DATE('Resumo'!$B$6,1,1),A124&gt;=DATE('Resumo'!$B$6+1,1,1),B124="",C124="",NOT(ISNUMBER(D124)),E124="",F124&lt;&gt;"Sim"),"Pendente: dados ou comprovante","Completo"))</x:f>
      </x:c>
    </x:row>
    <x:row r="125" ht="24" customHeight="1">
      <x:c r="A125" s="14"/>
      <x:c r="B125" s="7"/>
      <x:c r="C125" s="7"/>
      <x:c r="D125" s="16"/>
      <x:c r="E125" s="7"/>
      <x:c r="F125" s="7"/>
      <x:c r="G125" s="11" t="str">
        <x:f>IF(COUNTA(A125:F125)=0,"",IF(OR(NOT(ISNUMBER(A125)),A125&lt;DATE('Resumo'!$B$6,1,1),A125&gt;=DATE('Resumo'!$B$6+1,1,1),B125="",C125="",NOT(ISNUMBER(D125)),E125="",F125&lt;&gt;"Sim"),"Pendente: dados ou comprovante","Completo"))</x:f>
      </x:c>
    </x:row>
    <x:row r="126" ht="24" customHeight="1">
      <x:c r="A126" s="14"/>
      <x:c r="B126" s="7"/>
      <x:c r="C126" s="7"/>
      <x:c r="D126" s="16"/>
      <x:c r="E126" s="7"/>
      <x:c r="F126" s="7"/>
      <x:c r="G126" s="11" t="str">
        <x:f>IF(COUNTA(A126:F126)=0,"",IF(OR(NOT(ISNUMBER(A126)),A126&lt;DATE('Resumo'!$B$6,1,1),A126&gt;=DATE('Resumo'!$B$6+1,1,1),B126="",C126="",NOT(ISNUMBER(D126)),E126="",F126&lt;&gt;"Sim"),"Pendente: dados ou comprovante","Completo"))</x:f>
      </x:c>
    </x:row>
    <x:row r="127" ht="24" customHeight="1">
      <x:c r="A127" s="14"/>
      <x:c r="B127" s="7"/>
      <x:c r="C127" s="7"/>
      <x:c r="D127" s="16"/>
      <x:c r="E127" s="7"/>
      <x:c r="F127" s="7"/>
      <x:c r="G127" s="11" t="str">
        <x:f>IF(COUNTA(A127:F127)=0,"",IF(OR(NOT(ISNUMBER(A127)),A127&lt;DATE('Resumo'!$B$6,1,1),A127&gt;=DATE('Resumo'!$B$6+1,1,1),B127="",C127="",NOT(ISNUMBER(D127)),E127="",F127&lt;&gt;"Sim"),"Pendente: dados ou comprovante","Completo"))</x:f>
      </x:c>
    </x:row>
    <x:row r="128" ht="24" customHeight="1">
      <x:c r="A128" s="14"/>
      <x:c r="B128" s="7"/>
      <x:c r="C128" s="7"/>
      <x:c r="D128" s="16"/>
      <x:c r="E128" s="7"/>
      <x:c r="F128" s="7"/>
      <x:c r="G128" s="11" t="str">
        <x:f>IF(COUNTA(A128:F128)=0,"",IF(OR(NOT(ISNUMBER(A128)),A128&lt;DATE('Resumo'!$B$6,1,1),A128&gt;=DATE('Resumo'!$B$6+1,1,1),B128="",C128="",NOT(ISNUMBER(D128)),E128="",F128&lt;&gt;"Sim"),"Pendente: dados ou comprovante","Completo"))</x:f>
      </x:c>
    </x:row>
    <x:row r="129" ht="24" customHeight="1">
      <x:c r="A129" s="14"/>
      <x:c r="B129" s="7"/>
      <x:c r="C129" s="7"/>
      <x:c r="D129" s="16"/>
      <x:c r="E129" s="7"/>
      <x:c r="F129" s="7"/>
      <x:c r="G129" s="11" t="str">
        <x:f>IF(COUNTA(A129:F129)=0,"",IF(OR(NOT(ISNUMBER(A129)),A129&lt;DATE('Resumo'!$B$6,1,1),A129&gt;=DATE('Resumo'!$B$6+1,1,1),B129="",C129="",NOT(ISNUMBER(D129)),E129="",F129&lt;&gt;"Sim"),"Pendente: dados ou comprovante","Completo"))</x:f>
      </x:c>
    </x:row>
    <x:row r="130" ht="24" customHeight="1">
      <x:c r="A130" s="14"/>
      <x:c r="B130" s="7"/>
      <x:c r="C130" s="7"/>
      <x:c r="D130" s="16"/>
      <x:c r="E130" s="7"/>
      <x:c r="F130" s="7"/>
      <x:c r="G130" s="11" t="str">
        <x:f>IF(COUNTA(A130:F130)=0,"",IF(OR(NOT(ISNUMBER(A130)),A130&lt;DATE('Resumo'!$B$6,1,1),A130&gt;=DATE('Resumo'!$B$6+1,1,1),B130="",C130="",NOT(ISNUMBER(D130)),E130="",F130&lt;&gt;"Sim"),"Pendente: dados ou comprovante","Completo"))</x:f>
      </x:c>
    </x:row>
    <x:row r="131" ht="24" customHeight="1">
      <x:c r="A131" s="14"/>
      <x:c r="B131" s="7"/>
      <x:c r="C131" s="7"/>
      <x:c r="D131" s="16"/>
      <x:c r="E131" s="7"/>
      <x:c r="F131" s="7"/>
      <x:c r="G131" s="11" t="str">
        <x:f>IF(COUNTA(A131:F131)=0,"",IF(OR(NOT(ISNUMBER(A131)),A131&lt;DATE('Resumo'!$B$6,1,1),A131&gt;=DATE('Resumo'!$B$6+1,1,1),B131="",C131="",NOT(ISNUMBER(D131)),E131="",F131&lt;&gt;"Sim"),"Pendente: dados ou comprovante","Completo"))</x:f>
      </x:c>
    </x:row>
    <x:row r="132" ht="24" customHeight="1">
      <x:c r="A132" s="14"/>
      <x:c r="B132" s="7"/>
      <x:c r="C132" s="7"/>
      <x:c r="D132" s="16"/>
      <x:c r="E132" s="7"/>
      <x:c r="F132" s="7"/>
      <x:c r="G132" s="11" t="str">
        <x:f>IF(COUNTA(A132:F132)=0,"",IF(OR(NOT(ISNUMBER(A132)),A132&lt;DATE('Resumo'!$B$6,1,1),A132&gt;=DATE('Resumo'!$B$6+1,1,1),B132="",C132="",NOT(ISNUMBER(D132)),E132="",F132&lt;&gt;"Sim"),"Pendente: dados ou comprovante","Completo"))</x:f>
      </x:c>
    </x:row>
    <x:row r="133" ht="24" customHeight="1">
      <x:c r="A133" s="14"/>
      <x:c r="B133" s="7"/>
      <x:c r="C133" s="7"/>
      <x:c r="D133" s="16"/>
      <x:c r="E133" s="7"/>
      <x:c r="F133" s="7"/>
      <x:c r="G133" s="11" t="str">
        <x:f>IF(COUNTA(A133:F133)=0,"",IF(OR(NOT(ISNUMBER(A133)),A133&lt;DATE('Resumo'!$B$6,1,1),A133&gt;=DATE('Resumo'!$B$6+1,1,1),B133="",C133="",NOT(ISNUMBER(D133)),E133="",F133&lt;&gt;"Sim"),"Pendente: dados ou comprovante","Completo"))</x:f>
      </x:c>
    </x:row>
    <x:row r="134" ht="24" customHeight="1">
      <x:c r="A134" s="14"/>
      <x:c r="B134" s="7"/>
      <x:c r="C134" s="7"/>
      <x:c r="D134" s="16"/>
      <x:c r="E134" s="7"/>
      <x:c r="F134" s="7"/>
      <x:c r="G134" s="11" t="str">
        <x:f>IF(COUNTA(A134:F134)=0,"",IF(OR(NOT(ISNUMBER(A134)),A134&lt;DATE('Resumo'!$B$6,1,1),A134&gt;=DATE('Resumo'!$B$6+1,1,1),B134="",C134="",NOT(ISNUMBER(D134)),E134="",F134&lt;&gt;"Sim"),"Pendente: dados ou comprovante","Completo"))</x:f>
      </x:c>
    </x:row>
    <x:row r="135" ht="24" customHeight="1">
      <x:c r="A135" s="14"/>
      <x:c r="B135" s="7"/>
      <x:c r="C135" s="7"/>
      <x:c r="D135" s="16"/>
      <x:c r="E135" s="7"/>
      <x:c r="F135" s="7"/>
      <x:c r="G135" s="11" t="str">
        <x:f>IF(COUNTA(A135:F135)=0,"",IF(OR(NOT(ISNUMBER(A135)),A135&lt;DATE('Resumo'!$B$6,1,1),A135&gt;=DATE('Resumo'!$B$6+1,1,1),B135="",C135="",NOT(ISNUMBER(D135)),E135="",F135&lt;&gt;"Sim"),"Pendente: dados ou comprovante","Completo"))</x:f>
      </x:c>
    </x:row>
    <x:row r="136" ht="24" customHeight="1">
      <x:c r="A136" s="14"/>
      <x:c r="B136" s="7"/>
      <x:c r="C136" s="7"/>
      <x:c r="D136" s="16"/>
      <x:c r="E136" s="7"/>
      <x:c r="F136" s="7"/>
      <x:c r="G136" s="11" t="str">
        <x:f>IF(COUNTA(A136:F136)=0,"",IF(OR(NOT(ISNUMBER(A136)),A136&lt;DATE('Resumo'!$B$6,1,1),A136&gt;=DATE('Resumo'!$B$6+1,1,1),B136="",C136="",NOT(ISNUMBER(D136)),E136="",F136&lt;&gt;"Sim"),"Pendente: dados ou comprovante","Completo"))</x:f>
      </x:c>
    </x:row>
    <x:row r="137" ht="24" customHeight="1">
      <x:c r="A137" s="14"/>
      <x:c r="B137" s="7"/>
      <x:c r="C137" s="7"/>
      <x:c r="D137" s="16"/>
      <x:c r="E137" s="7"/>
      <x:c r="F137" s="7"/>
      <x:c r="G137" s="11" t="str">
        <x:f>IF(COUNTA(A137:F137)=0,"",IF(OR(NOT(ISNUMBER(A137)),A137&lt;DATE('Resumo'!$B$6,1,1),A137&gt;=DATE('Resumo'!$B$6+1,1,1),B137="",C137="",NOT(ISNUMBER(D137)),E137="",F137&lt;&gt;"Sim"),"Pendente: dados ou comprovante","Completo"))</x:f>
      </x:c>
    </x:row>
    <x:row r="138" ht="24" customHeight="1">
      <x:c r="A138" s="14"/>
      <x:c r="B138" s="7"/>
      <x:c r="C138" s="7"/>
      <x:c r="D138" s="16"/>
      <x:c r="E138" s="7"/>
      <x:c r="F138" s="7"/>
      <x:c r="G138" s="11" t="str">
        <x:f>IF(COUNTA(A138:F138)=0,"",IF(OR(NOT(ISNUMBER(A138)),A138&lt;DATE('Resumo'!$B$6,1,1),A138&gt;=DATE('Resumo'!$B$6+1,1,1),B138="",C138="",NOT(ISNUMBER(D138)),E138="",F138&lt;&gt;"Sim"),"Pendente: dados ou comprovante","Completo"))</x:f>
      </x:c>
    </x:row>
    <x:row r="139" ht="24" customHeight="1">
      <x:c r="A139" s="14"/>
      <x:c r="B139" s="7"/>
      <x:c r="C139" s="7"/>
      <x:c r="D139" s="16"/>
      <x:c r="E139" s="7"/>
      <x:c r="F139" s="7"/>
      <x:c r="G139" s="11" t="str">
        <x:f>IF(COUNTA(A139:F139)=0,"",IF(OR(NOT(ISNUMBER(A139)),A139&lt;DATE('Resumo'!$B$6,1,1),A139&gt;=DATE('Resumo'!$B$6+1,1,1),B139="",C139="",NOT(ISNUMBER(D139)),E139="",F139&lt;&gt;"Sim"),"Pendente: dados ou comprovante","Completo"))</x:f>
      </x:c>
    </x:row>
    <x:row r="140" ht="24" customHeight="1">
      <x:c r="A140" s="14"/>
      <x:c r="B140" s="7"/>
      <x:c r="C140" s="7"/>
      <x:c r="D140" s="16"/>
      <x:c r="E140" s="7"/>
      <x:c r="F140" s="7"/>
      <x:c r="G140" s="11" t="str">
        <x:f>IF(COUNTA(A140:F140)=0,"",IF(OR(NOT(ISNUMBER(A140)),A140&lt;DATE('Resumo'!$B$6,1,1),A140&gt;=DATE('Resumo'!$B$6+1,1,1),B140="",C140="",NOT(ISNUMBER(D140)),E140="",F140&lt;&gt;"Sim"),"Pendente: dados ou comprovante","Completo"))</x:f>
      </x:c>
    </x:row>
    <x:row r="141" ht="24" customHeight="1">
      <x:c r="A141" s="14"/>
      <x:c r="B141" s="7"/>
      <x:c r="C141" s="7"/>
      <x:c r="D141" s="16"/>
      <x:c r="E141" s="7"/>
      <x:c r="F141" s="7"/>
      <x:c r="G141" s="11" t="str">
        <x:f>IF(COUNTA(A141:F141)=0,"",IF(OR(NOT(ISNUMBER(A141)),A141&lt;DATE('Resumo'!$B$6,1,1),A141&gt;=DATE('Resumo'!$B$6+1,1,1),B141="",C141="",NOT(ISNUMBER(D141)),E141="",F141&lt;&gt;"Sim"),"Pendente: dados ou comprovante","Completo"))</x:f>
      </x:c>
    </x:row>
    <x:row r="142" ht="24" customHeight="1">
      <x:c r="A142" s="14"/>
      <x:c r="B142" s="7"/>
      <x:c r="C142" s="7"/>
      <x:c r="D142" s="16"/>
      <x:c r="E142" s="7"/>
      <x:c r="F142" s="7"/>
      <x:c r="G142" s="11" t="str">
        <x:f>IF(COUNTA(A142:F142)=0,"",IF(OR(NOT(ISNUMBER(A142)),A142&lt;DATE('Resumo'!$B$6,1,1),A142&gt;=DATE('Resumo'!$B$6+1,1,1),B142="",C142="",NOT(ISNUMBER(D142)),E142="",F142&lt;&gt;"Sim"),"Pendente: dados ou comprovante","Completo"))</x:f>
      </x:c>
    </x:row>
    <x:row r="143" ht="24" customHeight="1">
      <x:c r="A143" s="14"/>
      <x:c r="B143" s="7"/>
      <x:c r="C143" s="7"/>
      <x:c r="D143" s="16"/>
      <x:c r="E143" s="7"/>
      <x:c r="F143" s="7"/>
      <x:c r="G143" s="11" t="str">
        <x:f>IF(COUNTA(A143:F143)=0,"",IF(OR(NOT(ISNUMBER(A143)),A143&lt;DATE('Resumo'!$B$6,1,1),A143&gt;=DATE('Resumo'!$B$6+1,1,1),B143="",C143="",NOT(ISNUMBER(D143)),E143="",F143&lt;&gt;"Sim"),"Pendente: dados ou comprovante","Completo"))</x:f>
      </x:c>
    </x:row>
    <x:row r="144" ht="24" customHeight="1">
      <x:c r="A144" s="14"/>
      <x:c r="B144" s="7"/>
      <x:c r="C144" s="7"/>
      <x:c r="D144" s="16"/>
      <x:c r="E144" s="7"/>
      <x:c r="F144" s="7"/>
      <x:c r="G144" s="11" t="str">
        <x:f>IF(COUNTA(A144:F144)=0,"",IF(OR(NOT(ISNUMBER(A144)),A144&lt;DATE('Resumo'!$B$6,1,1),A144&gt;=DATE('Resumo'!$B$6+1,1,1),B144="",C144="",NOT(ISNUMBER(D144)),E144="",F144&lt;&gt;"Sim"),"Pendente: dados ou comprovante","Completo"))</x:f>
      </x:c>
    </x:row>
    <x:row r="145" ht="24" customHeight="1">
      <x:c r="A145" s="14"/>
      <x:c r="B145" s="7"/>
      <x:c r="C145" s="7"/>
      <x:c r="D145" s="16"/>
      <x:c r="E145" s="7"/>
      <x:c r="F145" s="7"/>
      <x:c r="G145" s="11" t="str">
        <x:f>IF(COUNTA(A145:F145)=0,"",IF(OR(NOT(ISNUMBER(A145)),A145&lt;DATE('Resumo'!$B$6,1,1),A145&gt;=DATE('Resumo'!$B$6+1,1,1),B145="",C145="",NOT(ISNUMBER(D145)),E145="",F145&lt;&gt;"Sim"),"Pendente: dados ou comprovante","Completo"))</x:f>
      </x:c>
    </x:row>
    <x:row r="146" ht="24" customHeight="1">
      <x:c r="A146" s="14"/>
      <x:c r="B146" s="7"/>
      <x:c r="C146" s="7"/>
      <x:c r="D146" s="16"/>
      <x:c r="E146" s="7"/>
      <x:c r="F146" s="7"/>
      <x:c r="G146" s="11" t="str">
        <x:f>IF(COUNTA(A146:F146)=0,"",IF(OR(NOT(ISNUMBER(A146)),A146&lt;DATE('Resumo'!$B$6,1,1),A146&gt;=DATE('Resumo'!$B$6+1,1,1),B146="",C146="",NOT(ISNUMBER(D146)),E146="",F146&lt;&gt;"Sim"),"Pendente: dados ou comprovante","Completo"))</x:f>
      </x:c>
    </x:row>
    <x:row r="147" ht="24" customHeight="1">
      <x:c r="A147" s="14"/>
      <x:c r="B147" s="7"/>
      <x:c r="C147" s="7"/>
      <x:c r="D147" s="16"/>
      <x:c r="E147" s="7"/>
      <x:c r="F147" s="7"/>
      <x:c r="G147" s="11" t="str">
        <x:f>IF(COUNTA(A147:F147)=0,"",IF(OR(NOT(ISNUMBER(A147)),A147&lt;DATE('Resumo'!$B$6,1,1),A147&gt;=DATE('Resumo'!$B$6+1,1,1),B147="",C147="",NOT(ISNUMBER(D147)),E147="",F147&lt;&gt;"Sim"),"Pendente: dados ou comprovante","Completo"))</x:f>
      </x:c>
    </x:row>
    <x:row r="148" ht="24" customHeight="1">
      <x:c r="A148" s="14"/>
      <x:c r="B148" s="7"/>
      <x:c r="C148" s="7"/>
      <x:c r="D148" s="16"/>
      <x:c r="E148" s="7"/>
      <x:c r="F148" s="7"/>
      <x:c r="G148" s="11" t="str">
        <x:f>IF(COUNTA(A148:F148)=0,"",IF(OR(NOT(ISNUMBER(A148)),A148&lt;DATE('Resumo'!$B$6,1,1),A148&gt;=DATE('Resumo'!$B$6+1,1,1),B148="",C148="",NOT(ISNUMBER(D148)),E148="",F148&lt;&gt;"Sim"),"Pendente: dados ou comprovante","Completo"))</x:f>
      </x:c>
    </x:row>
    <x:row r="149" ht="24" customHeight="1">
      <x:c r="A149" s="14"/>
      <x:c r="B149" s="7"/>
      <x:c r="C149" s="7"/>
      <x:c r="D149" s="16"/>
      <x:c r="E149" s="7"/>
      <x:c r="F149" s="7"/>
      <x:c r="G149" s="11" t="str">
        <x:f>IF(COUNTA(A149:F149)=0,"",IF(OR(NOT(ISNUMBER(A149)),A149&lt;DATE('Resumo'!$B$6,1,1),A149&gt;=DATE('Resumo'!$B$6+1,1,1),B149="",C149="",NOT(ISNUMBER(D149)),E149="",F149&lt;&gt;"Sim"),"Pendente: dados ou comprovante","Completo"))</x:f>
      </x:c>
    </x:row>
    <x:row r="150" ht="24" customHeight="1">
      <x:c r="A150" s="14"/>
      <x:c r="B150" s="7"/>
      <x:c r="C150" s="7"/>
      <x:c r="D150" s="16"/>
      <x:c r="E150" s="7"/>
      <x:c r="F150" s="7"/>
      <x:c r="G150" s="11" t="str">
        <x:f>IF(COUNTA(A150:F150)=0,"",IF(OR(NOT(ISNUMBER(A150)),A150&lt;DATE('Resumo'!$B$6,1,1),A150&gt;=DATE('Resumo'!$B$6+1,1,1),B150="",C150="",NOT(ISNUMBER(D150)),E150="",F150&lt;&gt;"Sim"),"Pendente: dados ou comprovante","Completo"))</x:f>
      </x:c>
    </x:row>
    <x:row r="151" ht="24" customHeight="1">
      <x:c r="A151" s="14"/>
      <x:c r="B151" s="7"/>
      <x:c r="C151" s="7"/>
      <x:c r="D151" s="16"/>
      <x:c r="E151" s="7"/>
      <x:c r="F151" s="7"/>
      <x:c r="G151" s="11" t="str">
        <x:f>IF(COUNTA(A151:F151)=0,"",IF(OR(NOT(ISNUMBER(A151)),A151&lt;DATE('Resumo'!$B$6,1,1),A151&gt;=DATE('Resumo'!$B$6+1,1,1),B151="",C151="",NOT(ISNUMBER(D151)),E151="",F151&lt;&gt;"Sim"),"Pendente: dados ou comprovante","Completo"))</x:f>
      </x:c>
    </x:row>
    <x:row r="152" ht="24" customHeight="1">
      <x:c r="A152" s="14"/>
      <x:c r="B152" s="7"/>
      <x:c r="C152" s="7"/>
      <x:c r="D152" s="16"/>
      <x:c r="E152" s="7"/>
      <x:c r="F152" s="7"/>
      <x:c r="G152" s="11" t="str">
        <x:f>IF(COUNTA(A152:F152)=0,"",IF(OR(NOT(ISNUMBER(A152)),A152&lt;DATE('Resumo'!$B$6,1,1),A152&gt;=DATE('Resumo'!$B$6+1,1,1),B152="",C152="",NOT(ISNUMBER(D152)),E152="",F152&lt;&gt;"Sim"),"Pendente: dados ou comprovante","Completo"))</x:f>
      </x:c>
    </x:row>
    <x:row r="153" ht="24" customHeight="1">
      <x:c r="A153" s="14"/>
      <x:c r="B153" s="7"/>
      <x:c r="C153" s="7"/>
      <x:c r="D153" s="16"/>
      <x:c r="E153" s="7"/>
      <x:c r="F153" s="7"/>
      <x:c r="G153" s="11" t="str">
        <x:f>IF(COUNTA(A153:F153)=0,"",IF(OR(NOT(ISNUMBER(A153)),A153&lt;DATE('Resumo'!$B$6,1,1),A153&gt;=DATE('Resumo'!$B$6+1,1,1),B153="",C153="",NOT(ISNUMBER(D153)),E153="",F153&lt;&gt;"Sim"),"Pendente: dados ou comprovante","Completo"))</x:f>
      </x:c>
    </x:row>
    <x:row r="154" ht="24" customHeight="1">
      <x:c r="A154" s="14"/>
      <x:c r="B154" s="7"/>
      <x:c r="C154" s="7"/>
      <x:c r="D154" s="16"/>
      <x:c r="E154" s="7"/>
      <x:c r="F154" s="7"/>
      <x:c r="G154" s="11" t="str">
        <x:f>IF(COUNTA(A154:F154)=0,"",IF(OR(NOT(ISNUMBER(A154)),A154&lt;DATE('Resumo'!$B$6,1,1),A154&gt;=DATE('Resumo'!$B$6+1,1,1),B154="",C154="",NOT(ISNUMBER(D154)),E154="",F154&lt;&gt;"Sim"),"Pendente: dados ou comprovante","Completo"))</x:f>
      </x:c>
    </x:row>
    <x:row r="155" ht="24" customHeight="1">
      <x:c r="A155" s="14"/>
      <x:c r="B155" s="7"/>
      <x:c r="C155" s="7"/>
      <x:c r="D155" s="16"/>
      <x:c r="E155" s="7"/>
      <x:c r="F155" s="7"/>
      <x:c r="G155" s="11" t="str">
        <x:f>IF(COUNTA(A155:F155)=0,"",IF(OR(NOT(ISNUMBER(A155)),A155&lt;DATE('Resumo'!$B$6,1,1),A155&gt;=DATE('Resumo'!$B$6+1,1,1),B155="",C155="",NOT(ISNUMBER(D155)),E155="",F155&lt;&gt;"Sim"),"Pendente: dados ou comprovante","Completo"))</x:f>
      </x:c>
    </x:row>
    <x:row r="156" ht="24" customHeight="1">
      <x:c r="A156" s="14"/>
      <x:c r="B156" s="7"/>
      <x:c r="C156" s="7"/>
      <x:c r="D156" s="16"/>
      <x:c r="E156" s="7"/>
      <x:c r="F156" s="7"/>
      <x:c r="G156" s="11" t="str">
        <x:f>IF(COUNTA(A156:F156)=0,"",IF(OR(NOT(ISNUMBER(A156)),A156&lt;DATE('Resumo'!$B$6,1,1),A156&gt;=DATE('Resumo'!$B$6+1,1,1),B156="",C156="",NOT(ISNUMBER(D156)),E156="",F156&lt;&gt;"Sim"),"Pendente: dados ou comprovante","Completo"))</x:f>
      </x:c>
    </x:row>
    <x:row r="157" ht="24" customHeight="1">
      <x:c r="A157" s="14"/>
      <x:c r="B157" s="7"/>
      <x:c r="C157" s="7"/>
      <x:c r="D157" s="16"/>
      <x:c r="E157" s="7"/>
      <x:c r="F157" s="7"/>
      <x:c r="G157" s="11" t="str">
        <x:f>IF(COUNTA(A157:F157)=0,"",IF(OR(NOT(ISNUMBER(A157)),A157&lt;DATE('Resumo'!$B$6,1,1),A157&gt;=DATE('Resumo'!$B$6+1,1,1),B157="",C157="",NOT(ISNUMBER(D157)),E157="",F157&lt;&gt;"Sim"),"Pendente: dados ou comprovante","Completo"))</x:f>
      </x:c>
    </x:row>
    <x:row r="158" ht="24" customHeight="1">
      <x:c r="A158" s="14"/>
      <x:c r="B158" s="7"/>
      <x:c r="C158" s="7"/>
      <x:c r="D158" s="16"/>
      <x:c r="E158" s="7"/>
      <x:c r="F158" s="7"/>
      <x:c r="G158" s="11" t="str">
        <x:f>IF(COUNTA(A158:F158)=0,"",IF(OR(NOT(ISNUMBER(A158)),A158&lt;DATE('Resumo'!$B$6,1,1),A158&gt;=DATE('Resumo'!$B$6+1,1,1),B158="",C158="",NOT(ISNUMBER(D158)),E158="",F158&lt;&gt;"Sim"),"Pendente: dados ou comprovante","Completo"))</x:f>
      </x:c>
    </x:row>
    <x:row r="159" ht="24" customHeight="1">
      <x:c r="A159" s="14"/>
      <x:c r="B159" s="7"/>
      <x:c r="C159" s="7"/>
      <x:c r="D159" s="16"/>
      <x:c r="E159" s="7"/>
      <x:c r="F159" s="7"/>
      <x:c r="G159" s="11" t="str">
        <x:f>IF(COUNTA(A159:F159)=0,"",IF(OR(NOT(ISNUMBER(A159)),A159&lt;DATE('Resumo'!$B$6,1,1),A159&gt;=DATE('Resumo'!$B$6+1,1,1),B159="",C159="",NOT(ISNUMBER(D159)),E159="",F159&lt;&gt;"Sim"),"Pendente: dados ou comprovante","Completo"))</x:f>
      </x:c>
    </x:row>
    <x:row r="160" ht="24" customHeight="1">
      <x:c r="A160" s="14"/>
      <x:c r="B160" s="7"/>
      <x:c r="C160" s="7"/>
      <x:c r="D160" s="16"/>
      <x:c r="E160" s="7"/>
      <x:c r="F160" s="7"/>
      <x:c r="G160" s="11" t="str">
        <x:f>IF(COUNTA(A160:F160)=0,"",IF(OR(NOT(ISNUMBER(A160)),A160&lt;DATE('Resumo'!$B$6,1,1),A160&gt;=DATE('Resumo'!$B$6+1,1,1),B160="",C160="",NOT(ISNUMBER(D160)),E160="",F160&lt;&gt;"Sim"),"Pendente: dados ou comprovante","Completo"))</x:f>
      </x:c>
    </x:row>
    <x:row r="161" ht="24" customHeight="1">
      <x:c r="A161" s="14"/>
      <x:c r="B161" s="7"/>
      <x:c r="C161" s="7"/>
      <x:c r="D161" s="16"/>
      <x:c r="E161" s="7"/>
      <x:c r="F161" s="7"/>
      <x:c r="G161" s="11" t="str">
        <x:f>IF(COUNTA(A161:F161)=0,"",IF(OR(NOT(ISNUMBER(A161)),A161&lt;DATE('Resumo'!$B$6,1,1),A161&gt;=DATE('Resumo'!$B$6+1,1,1),B161="",C161="",NOT(ISNUMBER(D161)),E161="",F161&lt;&gt;"Sim"),"Pendente: dados ou comprovante","Completo"))</x:f>
      </x:c>
    </x:row>
    <x:row r="162" ht="24" customHeight="1">
      <x:c r="A162" s="14"/>
      <x:c r="B162" s="7"/>
      <x:c r="C162" s="7"/>
      <x:c r="D162" s="16"/>
      <x:c r="E162" s="7"/>
      <x:c r="F162" s="7"/>
      <x:c r="G162" s="11" t="str">
        <x:f>IF(COUNTA(A162:F162)=0,"",IF(OR(NOT(ISNUMBER(A162)),A162&lt;DATE('Resumo'!$B$6,1,1),A162&gt;=DATE('Resumo'!$B$6+1,1,1),B162="",C162="",NOT(ISNUMBER(D162)),E162="",F162&lt;&gt;"Sim"),"Pendente: dados ou comprovante","Completo"))</x:f>
      </x:c>
    </x:row>
    <x:row r="163" ht="24" customHeight="1">
      <x:c r="A163" s="14"/>
      <x:c r="B163" s="7"/>
      <x:c r="C163" s="7"/>
      <x:c r="D163" s="16"/>
      <x:c r="E163" s="7"/>
      <x:c r="F163" s="7"/>
      <x:c r="G163" s="11" t="str">
        <x:f>IF(COUNTA(A163:F163)=0,"",IF(OR(NOT(ISNUMBER(A163)),A163&lt;DATE('Resumo'!$B$6,1,1),A163&gt;=DATE('Resumo'!$B$6+1,1,1),B163="",C163="",NOT(ISNUMBER(D163)),E163="",F163&lt;&gt;"Sim"),"Pendente: dados ou comprovante","Completo"))</x:f>
      </x:c>
    </x:row>
    <x:row r="164" ht="24" customHeight="1">
      <x:c r="A164" s="14"/>
      <x:c r="B164" s="7"/>
      <x:c r="C164" s="7"/>
      <x:c r="D164" s="16"/>
      <x:c r="E164" s="7"/>
      <x:c r="F164" s="7"/>
      <x:c r="G164" s="11" t="str">
        <x:f>IF(COUNTA(A164:F164)=0,"",IF(OR(NOT(ISNUMBER(A164)),A164&lt;DATE('Resumo'!$B$6,1,1),A164&gt;=DATE('Resumo'!$B$6+1,1,1),B164="",C164="",NOT(ISNUMBER(D164)),E164="",F164&lt;&gt;"Sim"),"Pendente: dados ou comprovante","Completo"))</x:f>
      </x:c>
    </x:row>
    <x:row r="165" ht="24" customHeight="1">
      <x:c r="A165" s="14"/>
      <x:c r="B165" s="7"/>
      <x:c r="C165" s="7"/>
      <x:c r="D165" s="16"/>
      <x:c r="E165" s="7"/>
      <x:c r="F165" s="7"/>
      <x:c r="G165" s="11" t="str">
        <x:f>IF(COUNTA(A165:F165)=0,"",IF(OR(NOT(ISNUMBER(A165)),A165&lt;DATE('Resumo'!$B$6,1,1),A165&gt;=DATE('Resumo'!$B$6+1,1,1),B165="",C165="",NOT(ISNUMBER(D165)),E165="",F165&lt;&gt;"Sim"),"Pendente: dados ou comprovante","Completo"))</x:f>
      </x:c>
    </x:row>
    <x:row r="166" ht="24" customHeight="1">
      <x:c r="A166" s="14"/>
      <x:c r="B166" s="7"/>
      <x:c r="C166" s="7"/>
      <x:c r="D166" s="16"/>
      <x:c r="E166" s="7"/>
      <x:c r="F166" s="7"/>
      <x:c r="G166" s="11" t="str">
        <x:f>IF(COUNTA(A166:F166)=0,"",IF(OR(NOT(ISNUMBER(A166)),A166&lt;DATE('Resumo'!$B$6,1,1),A166&gt;=DATE('Resumo'!$B$6+1,1,1),B166="",C166="",NOT(ISNUMBER(D166)),E166="",F166&lt;&gt;"Sim"),"Pendente: dados ou comprovante","Completo"))</x:f>
      </x:c>
    </x:row>
    <x:row r="167" ht="24" customHeight="1">
      <x:c r="A167" s="14"/>
      <x:c r="B167" s="7"/>
      <x:c r="C167" s="7"/>
      <x:c r="D167" s="16"/>
      <x:c r="E167" s="7"/>
      <x:c r="F167" s="7"/>
      <x:c r="G167" s="11" t="str">
        <x:f>IF(COUNTA(A167:F167)=0,"",IF(OR(NOT(ISNUMBER(A167)),A167&lt;DATE('Resumo'!$B$6,1,1),A167&gt;=DATE('Resumo'!$B$6+1,1,1),B167="",C167="",NOT(ISNUMBER(D167)),E167="",F167&lt;&gt;"Sim"),"Pendente: dados ou comprovante","Completo"))</x:f>
      </x:c>
    </x:row>
    <x:row r="168" ht="24" customHeight="1">
      <x:c r="A168" s="14"/>
      <x:c r="B168" s="7"/>
      <x:c r="C168" s="7"/>
      <x:c r="D168" s="16"/>
      <x:c r="E168" s="7"/>
      <x:c r="F168" s="7"/>
      <x:c r="G168" s="11" t="str">
        <x:f>IF(COUNTA(A168:F168)=0,"",IF(OR(NOT(ISNUMBER(A168)),A168&lt;DATE('Resumo'!$B$6,1,1),A168&gt;=DATE('Resumo'!$B$6+1,1,1),B168="",C168="",NOT(ISNUMBER(D168)),E168="",F168&lt;&gt;"Sim"),"Pendente: dados ou comprovante","Completo"))</x:f>
      </x:c>
    </x:row>
    <x:row r="169" ht="24" customHeight="1">
      <x:c r="A169" s="14"/>
      <x:c r="B169" s="7"/>
      <x:c r="C169" s="7"/>
      <x:c r="D169" s="16"/>
      <x:c r="E169" s="7"/>
      <x:c r="F169" s="7"/>
      <x:c r="G169" s="11" t="str">
        <x:f>IF(COUNTA(A169:F169)=0,"",IF(OR(NOT(ISNUMBER(A169)),A169&lt;DATE('Resumo'!$B$6,1,1),A169&gt;=DATE('Resumo'!$B$6+1,1,1),B169="",C169="",NOT(ISNUMBER(D169)),E169="",F169&lt;&gt;"Sim"),"Pendente: dados ou comprovante","Completo"))</x:f>
      </x:c>
    </x:row>
    <x:row r="170" ht="24" customHeight="1">
      <x:c r="A170" s="14"/>
      <x:c r="B170" s="7"/>
      <x:c r="C170" s="7"/>
      <x:c r="D170" s="16"/>
      <x:c r="E170" s="7"/>
      <x:c r="F170" s="7"/>
      <x:c r="G170" s="11" t="str">
        <x:f>IF(COUNTA(A170:F170)=0,"",IF(OR(NOT(ISNUMBER(A170)),A170&lt;DATE('Resumo'!$B$6,1,1),A170&gt;=DATE('Resumo'!$B$6+1,1,1),B170="",C170="",NOT(ISNUMBER(D170)),E170="",F170&lt;&gt;"Sim"),"Pendente: dados ou comprovante","Completo"))</x:f>
      </x:c>
    </x:row>
    <x:row r="171" ht="24" customHeight="1">
      <x:c r="A171" s="14"/>
      <x:c r="B171" s="7"/>
      <x:c r="C171" s="7"/>
      <x:c r="D171" s="16"/>
      <x:c r="E171" s="7"/>
      <x:c r="F171" s="7"/>
      <x:c r="G171" s="11" t="str">
        <x:f>IF(COUNTA(A171:F171)=0,"",IF(OR(NOT(ISNUMBER(A171)),A171&lt;DATE('Resumo'!$B$6,1,1),A171&gt;=DATE('Resumo'!$B$6+1,1,1),B171="",C171="",NOT(ISNUMBER(D171)),E171="",F171&lt;&gt;"Sim"),"Pendente: dados ou comprovante","Completo"))</x:f>
      </x:c>
    </x:row>
    <x:row r="172" ht="24" customHeight="1">
      <x:c r="A172" s="14"/>
      <x:c r="B172" s="7"/>
      <x:c r="C172" s="7"/>
      <x:c r="D172" s="16"/>
      <x:c r="E172" s="7"/>
      <x:c r="F172" s="7"/>
      <x:c r="G172" s="11" t="str">
        <x:f>IF(COUNTA(A172:F172)=0,"",IF(OR(NOT(ISNUMBER(A172)),A172&lt;DATE('Resumo'!$B$6,1,1),A172&gt;=DATE('Resumo'!$B$6+1,1,1),B172="",C172="",NOT(ISNUMBER(D172)),E172="",F172&lt;&gt;"Sim"),"Pendente: dados ou comprovante","Completo"))</x:f>
      </x:c>
    </x:row>
    <x:row r="173" ht="24" customHeight="1">
      <x:c r="A173" s="14"/>
      <x:c r="B173" s="7"/>
      <x:c r="C173" s="7"/>
      <x:c r="D173" s="16"/>
      <x:c r="E173" s="7"/>
      <x:c r="F173" s="7"/>
      <x:c r="G173" s="11" t="str">
        <x:f>IF(COUNTA(A173:F173)=0,"",IF(OR(NOT(ISNUMBER(A173)),A173&lt;DATE('Resumo'!$B$6,1,1),A173&gt;=DATE('Resumo'!$B$6+1,1,1),B173="",C173="",NOT(ISNUMBER(D173)),E173="",F173&lt;&gt;"Sim"),"Pendente: dados ou comprovante","Completo"))</x:f>
      </x:c>
    </x:row>
    <x:row r="174" ht="24" customHeight="1">
      <x:c r="A174" s="14"/>
      <x:c r="B174" s="7"/>
      <x:c r="C174" s="7"/>
      <x:c r="D174" s="16"/>
      <x:c r="E174" s="7"/>
      <x:c r="F174" s="7"/>
      <x:c r="G174" s="11" t="str">
        <x:f>IF(COUNTA(A174:F174)=0,"",IF(OR(NOT(ISNUMBER(A174)),A174&lt;DATE('Resumo'!$B$6,1,1),A174&gt;=DATE('Resumo'!$B$6+1,1,1),B174="",C174="",NOT(ISNUMBER(D174)),E174="",F174&lt;&gt;"Sim"),"Pendente: dados ou comprovante","Completo"))</x:f>
      </x:c>
    </x:row>
    <x:row r="175" ht="24" customHeight="1">
      <x:c r="A175" s="14"/>
      <x:c r="B175" s="7"/>
      <x:c r="C175" s="7"/>
      <x:c r="D175" s="16"/>
      <x:c r="E175" s="7"/>
      <x:c r="F175" s="7"/>
      <x:c r="G175" s="11" t="str">
        <x:f>IF(COUNTA(A175:F175)=0,"",IF(OR(NOT(ISNUMBER(A175)),A175&lt;DATE('Resumo'!$B$6,1,1),A175&gt;=DATE('Resumo'!$B$6+1,1,1),B175="",C175="",NOT(ISNUMBER(D175)),E175="",F175&lt;&gt;"Sim"),"Pendente: dados ou comprovante","Completo"))</x:f>
      </x:c>
    </x:row>
    <x:row r="176" ht="24" customHeight="1">
      <x:c r="A176" s="14"/>
      <x:c r="B176" s="7"/>
      <x:c r="C176" s="7"/>
      <x:c r="D176" s="16"/>
      <x:c r="E176" s="7"/>
      <x:c r="F176" s="7"/>
      <x:c r="G176" s="11" t="str">
        <x:f>IF(COUNTA(A176:F176)=0,"",IF(OR(NOT(ISNUMBER(A176)),A176&lt;DATE('Resumo'!$B$6,1,1),A176&gt;=DATE('Resumo'!$B$6+1,1,1),B176="",C176="",NOT(ISNUMBER(D176)),E176="",F176&lt;&gt;"Sim"),"Pendente: dados ou comprovante","Completo"))</x:f>
      </x:c>
    </x:row>
    <x:row r="177" ht="24" customHeight="1">
      <x:c r="A177" s="14"/>
      <x:c r="B177" s="7"/>
      <x:c r="C177" s="7"/>
      <x:c r="D177" s="16"/>
      <x:c r="E177" s="7"/>
      <x:c r="F177" s="7"/>
      <x:c r="G177" s="11" t="str">
        <x:f>IF(COUNTA(A177:F177)=0,"",IF(OR(NOT(ISNUMBER(A177)),A177&lt;DATE('Resumo'!$B$6,1,1),A177&gt;=DATE('Resumo'!$B$6+1,1,1),B177="",C177="",NOT(ISNUMBER(D177)),E177="",F177&lt;&gt;"Sim"),"Pendente: dados ou comprovante","Completo"))</x:f>
      </x:c>
    </x:row>
    <x:row r="178" ht="24" customHeight="1">
      <x:c r="A178" s="14"/>
      <x:c r="B178" s="7"/>
      <x:c r="C178" s="7"/>
      <x:c r="D178" s="16"/>
      <x:c r="E178" s="7"/>
      <x:c r="F178" s="7"/>
      <x:c r="G178" s="11" t="str">
        <x:f>IF(COUNTA(A178:F178)=0,"",IF(OR(NOT(ISNUMBER(A178)),A178&lt;DATE('Resumo'!$B$6,1,1),A178&gt;=DATE('Resumo'!$B$6+1,1,1),B178="",C178="",NOT(ISNUMBER(D178)),E178="",F178&lt;&gt;"Sim"),"Pendente: dados ou comprovante","Completo"))</x:f>
      </x:c>
    </x:row>
    <x:row r="179" ht="24" customHeight="1">
      <x:c r="A179" s="14"/>
      <x:c r="B179" s="7"/>
      <x:c r="C179" s="7"/>
      <x:c r="D179" s="16"/>
      <x:c r="E179" s="7"/>
      <x:c r="F179" s="7"/>
      <x:c r="G179" s="11" t="str">
        <x:f>IF(COUNTA(A179:F179)=0,"",IF(OR(NOT(ISNUMBER(A179)),A179&lt;DATE('Resumo'!$B$6,1,1),A179&gt;=DATE('Resumo'!$B$6+1,1,1),B179="",C179="",NOT(ISNUMBER(D179)),E179="",F179&lt;&gt;"Sim"),"Pendente: dados ou comprovante","Completo"))</x:f>
      </x:c>
    </x:row>
    <x:row r="180" ht="24" customHeight="1">
      <x:c r="A180" s="14"/>
      <x:c r="B180" s="7"/>
      <x:c r="C180" s="7"/>
      <x:c r="D180" s="16"/>
      <x:c r="E180" s="7"/>
      <x:c r="F180" s="7"/>
      <x:c r="G180" s="11" t="str">
        <x:f>IF(COUNTA(A180:F180)=0,"",IF(OR(NOT(ISNUMBER(A180)),A180&lt;DATE('Resumo'!$B$6,1,1),A180&gt;=DATE('Resumo'!$B$6+1,1,1),B180="",C180="",NOT(ISNUMBER(D180)),E180="",F180&lt;&gt;"Sim"),"Pendente: dados ou comprovante","Completo"))</x:f>
      </x:c>
    </x:row>
    <x:row r="181" ht="24" customHeight="1">
      <x:c r="A181" s="14"/>
      <x:c r="B181" s="7"/>
      <x:c r="C181" s="7"/>
      <x:c r="D181" s="16"/>
      <x:c r="E181" s="7"/>
      <x:c r="F181" s="7"/>
      <x:c r="G181" s="11" t="str">
        <x:f>IF(COUNTA(A181:F181)=0,"",IF(OR(NOT(ISNUMBER(A181)),A181&lt;DATE('Resumo'!$B$6,1,1),A181&gt;=DATE('Resumo'!$B$6+1,1,1),B181="",C181="",NOT(ISNUMBER(D181)),E181="",F181&lt;&gt;"Sim"),"Pendente: dados ou comprovante","Completo"))</x:f>
      </x:c>
    </x:row>
    <x:row r="182" ht="24" customHeight="1">
      <x:c r="A182" s="14"/>
      <x:c r="B182" s="7"/>
      <x:c r="C182" s="7"/>
      <x:c r="D182" s="16"/>
      <x:c r="E182" s="7"/>
      <x:c r="F182" s="7"/>
      <x:c r="G182" s="11" t="str">
        <x:f>IF(COUNTA(A182:F182)=0,"",IF(OR(NOT(ISNUMBER(A182)),A182&lt;DATE('Resumo'!$B$6,1,1),A182&gt;=DATE('Resumo'!$B$6+1,1,1),B182="",C182="",NOT(ISNUMBER(D182)),E182="",F182&lt;&gt;"Sim"),"Pendente: dados ou comprovante","Completo"))</x:f>
      </x:c>
    </x:row>
    <x:row r="183" ht="24" customHeight="1">
      <x:c r="A183" s="14"/>
      <x:c r="B183" s="7"/>
      <x:c r="C183" s="7"/>
      <x:c r="D183" s="16"/>
      <x:c r="E183" s="7"/>
      <x:c r="F183" s="7"/>
      <x:c r="G183" s="11" t="str">
        <x:f>IF(COUNTA(A183:F183)=0,"",IF(OR(NOT(ISNUMBER(A183)),A183&lt;DATE('Resumo'!$B$6,1,1),A183&gt;=DATE('Resumo'!$B$6+1,1,1),B183="",C183="",NOT(ISNUMBER(D183)),E183="",F183&lt;&gt;"Sim"),"Pendente: dados ou comprovante","Completo"))</x:f>
      </x:c>
    </x:row>
    <x:row r="184" ht="24" customHeight="1">
      <x:c r="A184" s="14"/>
      <x:c r="B184" s="7"/>
      <x:c r="C184" s="7"/>
      <x:c r="D184" s="16"/>
      <x:c r="E184" s="7"/>
      <x:c r="F184" s="7"/>
      <x:c r="G184" s="11" t="str">
        <x:f>IF(COUNTA(A184:F184)=0,"",IF(OR(NOT(ISNUMBER(A184)),A184&lt;DATE('Resumo'!$B$6,1,1),A184&gt;=DATE('Resumo'!$B$6+1,1,1),B184="",C184="",NOT(ISNUMBER(D184)),E184="",F184&lt;&gt;"Sim"),"Pendente: dados ou comprovante","Completo"))</x:f>
      </x:c>
    </x:row>
    <x:row r="185" ht="24" customHeight="1">
      <x:c r="A185" s="14"/>
      <x:c r="B185" s="7"/>
      <x:c r="C185" s="7"/>
      <x:c r="D185" s="16"/>
      <x:c r="E185" s="7"/>
      <x:c r="F185" s="7"/>
      <x:c r="G185" s="11" t="str">
        <x:f>IF(COUNTA(A185:F185)=0,"",IF(OR(NOT(ISNUMBER(A185)),A185&lt;DATE('Resumo'!$B$6,1,1),A185&gt;=DATE('Resumo'!$B$6+1,1,1),B185="",C185="",NOT(ISNUMBER(D185)),E185="",F185&lt;&gt;"Sim"),"Pendente: dados ou comprovante","Completo"))</x:f>
      </x:c>
    </x:row>
    <x:row r="186" ht="24" customHeight="1">
      <x:c r="A186" s="14"/>
      <x:c r="B186" s="7"/>
      <x:c r="C186" s="7"/>
      <x:c r="D186" s="16"/>
      <x:c r="E186" s="7"/>
      <x:c r="F186" s="7"/>
      <x:c r="G186" s="11" t="str">
        <x:f>IF(COUNTA(A186:F186)=0,"",IF(OR(NOT(ISNUMBER(A186)),A186&lt;DATE('Resumo'!$B$6,1,1),A186&gt;=DATE('Resumo'!$B$6+1,1,1),B186="",C186="",NOT(ISNUMBER(D186)),E186="",F186&lt;&gt;"Sim"),"Pendente: dados ou comprovante","Completo"))</x:f>
      </x:c>
    </x:row>
    <x:row r="187" ht="24" customHeight="1">
      <x:c r="A187" s="14"/>
      <x:c r="B187" s="7"/>
      <x:c r="C187" s="7"/>
      <x:c r="D187" s="16"/>
      <x:c r="E187" s="7"/>
      <x:c r="F187" s="7"/>
      <x:c r="G187" s="11" t="str">
        <x:f>IF(COUNTA(A187:F187)=0,"",IF(OR(NOT(ISNUMBER(A187)),A187&lt;DATE('Resumo'!$B$6,1,1),A187&gt;=DATE('Resumo'!$B$6+1,1,1),B187="",C187="",NOT(ISNUMBER(D187)),E187="",F187&lt;&gt;"Sim"),"Pendente: dados ou comprovante","Completo"))</x:f>
      </x:c>
    </x:row>
    <x:row r="188" ht="24" customHeight="1">
      <x:c r="A188" s="14"/>
      <x:c r="B188" s="7"/>
      <x:c r="C188" s="7"/>
      <x:c r="D188" s="16"/>
      <x:c r="E188" s="7"/>
      <x:c r="F188" s="7"/>
      <x:c r="G188" s="11" t="str">
        <x:f>IF(COUNTA(A188:F188)=0,"",IF(OR(NOT(ISNUMBER(A188)),A188&lt;DATE('Resumo'!$B$6,1,1),A188&gt;=DATE('Resumo'!$B$6+1,1,1),B188="",C188="",NOT(ISNUMBER(D188)),E188="",F188&lt;&gt;"Sim"),"Pendente: dados ou comprovante","Completo"))</x:f>
      </x:c>
    </x:row>
    <x:row r="189" ht="24" customHeight="1">
      <x:c r="A189" s="14"/>
      <x:c r="B189" s="7"/>
      <x:c r="C189" s="7"/>
      <x:c r="D189" s="16"/>
      <x:c r="E189" s="7"/>
      <x:c r="F189" s="7"/>
      <x:c r="G189" s="11" t="str">
        <x:f>IF(COUNTA(A189:F189)=0,"",IF(OR(NOT(ISNUMBER(A189)),A189&lt;DATE('Resumo'!$B$6,1,1),A189&gt;=DATE('Resumo'!$B$6+1,1,1),B189="",C189="",NOT(ISNUMBER(D189)),E189="",F189&lt;&gt;"Sim"),"Pendente: dados ou comprovante","Completo"))</x:f>
      </x:c>
    </x:row>
    <x:row r="190" ht="24" customHeight="1">
      <x:c r="A190" s="14"/>
      <x:c r="B190" s="7"/>
      <x:c r="C190" s="7"/>
      <x:c r="D190" s="16"/>
      <x:c r="E190" s="7"/>
      <x:c r="F190" s="7"/>
      <x:c r="G190" s="11" t="str">
        <x:f>IF(COUNTA(A190:F190)=0,"",IF(OR(NOT(ISNUMBER(A190)),A190&lt;DATE('Resumo'!$B$6,1,1),A190&gt;=DATE('Resumo'!$B$6+1,1,1),B190="",C190="",NOT(ISNUMBER(D190)),E190="",F190&lt;&gt;"Sim"),"Pendente: dados ou comprovante","Completo"))</x:f>
      </x:c>
    </x:row>
    <x:row r="191" ht="24" customHeight="1">
      <x:c r="A191" s="14"/>
      <x:c r="B191" s="7"/>
      <x:c r="C191" s="7"/>
      <x:c r="D191" s="16"/>
      <x:c r="E191" s="7"/>
      <x:c r="F191" s="7"/>
      <x:c r="G191" s="11" t="str">
        <x:f>IF(COUNTA(A191:F191)=0,"",IF(OR(NOT(ISNUMBER(A191)),A191&lt;DATE('Resumo'!$B$6,1,1),A191&gt;=DATE('Resumo'!$B$6+1,1,1),B191="",C191="",NOT(ISNUMBER(D191)),E191="",F191&lt;&gt;"Sim"),"Pendente: dados ou comprovante","Completo"))</x:f>
      </x:c>
    </x:row>
    <x:row r="192" ht="24" customHeight="1">
      <x:c r="A192" s="14"/>
      <x:c r="B192" s="7"/>
      <x:c r="C192" s="7"/>
      <x:c r="D192" s="16"/>
      <x:c r="E192" s="7"/>
      <x:c r="F192" s="7"/>
      <x:c r="G192" s="11" t="str">
        <x:f>IF(COUNTA(A192:F192)=0,"",IF(OR(NOT(ISNUMBER(A192)),A192&lt;DATE('Resumo'!$B$6,1,1),A192&gt;=DATE('Resumo'!$B$6+1,1,1),B192="",C192="",NOT(ISNUMBER(D192)),E192="",F192&lt;&gt;"Sim"),"Pendente: dados ou comprovante","Completo"))</x:f>
      </x:c>
    </x:row>
    <x:row r="193" ht="24" customHeight="1">
      <x:c r="A193" s="14"/>
      <x:c r="B193" s="7"/>
      <x:c r="C193" s="7"/>
      <x:c r="D193" s="16"/>
      <x:c r="E193" s="7"/>
      <x:c r="F193" s="7"/>
      <x:c r="G193" s="11" t="str">
        <x:f>IF(COUNTA(A193:F193)=0,"",IF(OR(NOT(ISNUMBER(A193)),A193&lt;DATE('Resumo'!$B$6,1,1),A193&gt;=DATE('Resumo'!$B$6+1,1,1),B193="",C193="",NOT(ISNUMBER(D193)),E193="",F193&lt;&gt;"Sim"),"Pendente: dados ou comprovante","Completo"))</x:f>
      </x:c>
    </x:row>
    <x:row r="194" ht="24" customHeight="1">
      <x:c r="A194" s="14"/>
      <x:c r="B194" s="7"/>
      <x:c r="C194" s="7"/>
      <x:c r="D194" s="16"/>
      <x:c r="E194" s="7"/>
      <x:c r="F194" s="7"/>
      <x:c r="G194" s="11" t="str">
        <x:f>IF(COUNTA(A194:F194)=0,"",IF(OR(NOT(ISNUMBER(A194)),A194&lt;DATE('Resumo'!$B$6,1,1),A194&gt;=DATE('Resumo'!$B$6+1,1,1),B194="",C194="",NOT(ISNUMBER(D194)),E194="",F194&lt;&gt;"Sim"),"Pendente: dados ou comprovante","Completo"))</x:f>
      </x:c>
    </x:row>
    <x:row r="195" ht="24" customHeight="1">
      <x:c r="A195" s="14"/>
      <x:c r="B195" s="7"/>
      <x:c r="C195" s="7"/>
      <x:c r="D195" s="16"/>
      <x:c r="E195" s="7"/>
      <x:c r="F195" s="7"/>
      <x:c r="G195" s="11" t="str">
        <x:f>IF(COUNTA(A195:F195)=0,"",IF(OR(NOT(ISNUMBER(A195)),A195&lt;DATE('Resumo'!$B$6,1,1),A195&gt;=DATE('Resumo'!$B$6+1,1,1),B195="",C195="",NOT(ISNUMBER(D195)),E195="",F195&lt;&gt;"Sim"),"Pendente: dados ou comprovante","Completo"))</x:f>
      </x:c>
    </x:row>
    <x:row r="196" ht="24" customHeight="1">
      <x:c r="A196" s="14"/>
      <x:c r="B196" s="7"/>
      <x:c r="C196" s="7"/>
      <x:c r="D196" s="16"/>
      <x:c r="E196" s="7"/>
      <x:c r="F196" s="7"/>
      <x:c r="G196" s="11" t="str">
        <x:f>IF(COUNTA(A196:F196)=0,"",IF(OR(NOT(ISNUMBER(A196)),A196&lt;DATE('Resumo'!$B$6,1,1),A196&gt;=DATE('Resumo'!$B$6+1,1,1),B196="",C196="",NOT(ISNUMBER(D196)),E196="",F196&lt;&gt;"Sim"),"Pendente: dados ou comprovante","Completo"))</x:f>
      </x:c>
    </x:row>
    <x:row r="197" ht="24" customHeight="1">
      <x:c r="A197" s="14"/>
      <x:c r="B197" s="7"/>
      <x:c r="C197" s="7"/>
      <x:c r="D197" s="16"/>
      <x:c r="E197" s="7"/>
      <x:c r="F197" s="7"/>
      <x:c r="G197" s="11" t="str">
        <x:f>IF(COUNTA(A197:F197)=0,"",IF(OR(NOT(ISNUMBER(A197)),A197&lt;DATE('Resumo'!$B$6,1,1),A197&gt;=DATE('Resumo'!$B$6+1,1,1),B197="",C197="",NOT(ISNUMBER(D197)),E197="",F197&lt;&gt;"Sim"),"Pendente: dados ou comprovante","Completo"))</x:f>
      </x:c>
    </x:row>
    <x:row r="198" ht="24" customHeight="1">
      <x:c r="A198" s="14"/>
      <x:c r="B198" s="7"/>
      <x:c r="C198" s="7"/>
      <x:c r="D198" s="16"/>
      <x:c r="E198" s="7"/>
      <x:c r="F198" s="7"/>
      <x:c r="G198" s="11" t="str">
        <x:f>IF(COUNTA(A198:F198)=0,"",IF(OR(NOT(ISNUMBER(A198)),A198&lt;DATE('Resumo'!$B$6,1,1),A198&gt;=DATE('Resumo'!$B$6+1,1,1),B198="",C198="",NOT(ISNUMBER(D198)),E198="",F198&lt;&gt;"Sim"),"Pendente: dados ou comprovante","Completo"))</x:f>
      </x:c>
    </x:row>
    <x:row r="199" ht="24" customHeight="1">
      <x:c r="A199" s="14"/>
      <x:c r="B199" s="7"/>
      <x:c r="C199" s="7"/>
      <x:c r="D199" s="16"/>
      <x:c r="E199" s="7"/>
      <x:c r="F199" s="7"/>
      <x:c r="G199" s="11" t="str">
        <x:f>IF(COUNTA(A199:F199)=0,"",IF(OR(NOT(ISNUMBER(A199)),A199&lt;DATE('Resumo'!$B$6,1,1),A199&gt;=DATE('Resumo'!$B$6+1,1,1),B199="",C199="",NOT(ISNUMBER(D199)),E199="",F199&lt;&gt;"Sim"),"Pendente: dados ou comprovante","Completo"))</x:f>
      </x:c>
    </x:row>
    <x:row r="200" ht="24" customHeight="1">
      <x:c r="A200" s="14"/>
      <x:c r="B200" s="7"/>
      <x:c r="C200" s="7"/>
      <x:c r="D200" s="16"/>
      <x:c r="E200" s="7"/>
      <x:c r="F200" s="7"/>
      <x:c r="G200" s="11" t="str">
        <x:f>IF(COUNTA(A200:F200)=0,"",IF(OR(NOT(ISNUMBER(A200)),A200&lt;DATE('Resumo'!$B$6,1,1),A200&gt;=DATE('Resumo'!$B$6+1,1,1),B200="",C200="",NOT(ISNUMBER(D200)),E200="",F200&lt;&gt;"Sim"),"Pendente: dados ou comprovante","Completo"))</x:f>
      </x:c>
    </x:row>
    <x:row r="201" ht="24" customHeight="1">
      <x:c r="A201" s="14"/>
      <x:c r="B201" s="7"/>
      <x:c r="C201" s="7"/>
      <x:c r="D201" s="16"/>
      <x:c r="E201" s="7"/>
      <x:c r="F201" s="7"/>
      <x:c r="G201" s="11" t="str">
        <x:f>IF(COUNTA(A201:F201)=0,"",IF(OR(NOT(ISNUMBER(A201)),A201&lt;DATE('Resumo'!$B$6,1,1),A201&gt;=DATE('Resumo'!$B$6+1,1,1),B201="",C201="",NOT(ISNUMBER(D201)),E201="",F201&lt;&gt;"Sim"),"Pendente: dados ou comprovante","Completo"))</x:f>
      </x:c>
    </x:row>
    <x:row r="202" ht="24" customHeight="1">
      <x:c r="A202" s="14"/>
      <x:c r="B202" s="7"/>
      <x:c r="C202" s="7"/>
      <x:c r="D202" s="16"/>
      <x:c r="E202" s="7"/>
      <x:c r="F202" s="7"/>
      <x:c r="G202" s="11" t="str">
        <x:f>IF(COUNTA(A202:F202)=0,"",IF(OR(NOT(ISNUMBER(A202)),A202&lt;DATE('Resumo'!$B$6,1,1),A202&gt;=DATE('Resumo'!$B$6+1,1,1),B202="",C202="",NOT(ISNUMBER(D202)),E202="",F202&lt;&gt;"Sim"),"Pendente: dados ou comprovante","Completo"))</x:f>
      </x:c>
    </x:row>
    <x:row r="203" ht="24" customHeight="1">
      <x:c r="A203" s="14"/>
      <x:c r="B203" s="7"/>
      <x:c r="C203" s="7"/>
      <x:c r="D203" s="16"/>
      <x:c r="E203" s="7"/>
      <x:c r="F203" s="7"/>
      <x:c r="G203" s="11" t="str">
        <x:f>IF(COUNTA(A203:F203)=0,"",IF(OR(NOT(ISNUMBER(A203)),A203&lt;DATE('Resumo'!$B$6,1,1),A203&gt;=DATE('Resumo'!$B$6+1,1,1),B203="",C203="",NOT(ISNUMBER(D203)),E203="",F203&lt;&gt;"Sim"),"Pendente: dados ou comprovante","Completo"))</x:f>
      </x:c>
    </x:row>
    <x:row r="204" ht="24" customHeight="1">
      <x:c r="A204" s="14"/>
      <x:c r="B204" s="7"/>
      <x:c r="C204" s="7"/>
      <x:c r="D204" s="16"/>
      <x:c r="E204" s="7"/>
      <x:c r="F204" s="7"/>
      <x:c r="G204" s="11" t="str">
        <x:f>IF(COUNTA(A204:F204)=0,"",IF(OR(NOT(ISNUMBER(A204)),A204&lt;DATE('Resumo'!$B$6,1,1),A204&gt;=DATE('Resumo'!$B$6+1,1,1),B204="",C204="",NOT(ISNUMBER(D204)),E204="",F204&lt;&gt;"Sim"),"Pendente: dados ou comprovante","Completo"))</x:f>
      </x:c>
    </x:row>
    <x:row r="205" ht="24" customHeight="1">
      <x:c r="A205" s="14"/>
      <x:c r="B205" s="7"/>
      <x:c r="C205" s="7"/>
      <x:c r="D205" s="16"/>
      <x:c r="E205" s="7"/>
      <x:c r="F205" s="7"/>
      <x:c r="G205" s="11" t="str">
        <x:f>IF(COUNTA(A205:F205)=0,"",IF(OR(NOT(ISNUMBER(A205)),A205&lt;DATE('Resumo'!$B$6,1,1),A205&gt;=DATE('Resumo'!$B$6+1,1,1),B205="",C205="",NOT(ISNUMBER(D205)),E205="",F205&lt;&gt;"Sim"),"Pendente: dados ou comprovante","Completo"))</x:f>
      </x:c>
    </x:row>
    <x:row r="206" ht="24" customHeight="1">
      <x:c r="A206" s="14"/>
      <x:c r="B206" s="7"/>
      <x:c r="C206" s="7"/>
      <x:c r="D206" s="16"/>
      <x:c r="E206" s="7"/>
      <x:c r="F206" s="7"/>
      <x:c r="G206" s="11" t="str">
        <x:f>IF(COUNTA(A206:F206)=0,"",IF(OR(NOT(ISNUMBER(A206)),A206&lt;DATE('Resumo'!$B$6,1,1),A206&gt;=DATE('Resumo'!$B$6+1,1,1),B206="",C206="",NOT(ISNUMBER(D206)),E206="",F206&lt;&gt;"Sim"),"Pendente: dados ou comprovante","Completo"))</x:f>
      </x:c>
    </x:row>
    <x:row r="207" ht="24" customHeight="1">
      <x:c r="A207" s="14"/>
      <x:c r="B207" s="7"/>
      <x:c r="C207" s="7"/>
      <x:c r="D207" s="16"/>
      <x:c r="E207" s="7"/>
      <x:c r="F207" s="7"/>
      <x:c r="G207" s="11" t="str">
        <x:f>IF(COUNTA(A207:F207)=0,"",IF(OR(NOT(ISNUMBER(A207)),A207&lt;DATE('Resumo'!$B$6,1,1),A207&gt;=DATE('Resumo'!$B$6+1,1,1),B207="",C207="",NOT(ISNUMBER(D207)),E207="",F207&lt;&gt;"Sim"),"Pendente: dados ou comprovante","Completo"))</x:f>
      </x:c>
    </x:row>
    <x:row r="208" ht="24" customHeight="1">
      <x:c r="A208" s="14"/>
      <x:c r="B208" s="7"/>
      <x:c r="C208" s="7"/>
      <x:c r="D208" s="16"/>
      <x:c r="E208" s="7"/>
      <x:c r="F208" s="7"/>
      <x:c r="G208" s="11" t="str">
        <x:f>IF(COUNTA(A208:F208)=0,"",IF(OR(NOT(ISNUMBER(A208)),A208&lt;DATE('Resumo'!$B$6,1,1),A208&gt;=DATE('Resumo'!$B$6+1,1,1),B208="",C208="",NOT(ISNUMBER(D208)),E208="",F208&lt;&gt;"Sim"),"Pendente: dados ou comprovante","Completo"))</x:f>
      </x:c>
    </x:row>
    <x:row r="209" ht="24" customHeight="1">
      <x:c r="A209" s="14"/>
      <x:c r="B209" s="7"/>
      <x:c r="C209" s="7"/>
      <x:c r="D209" s="16"/>
      <x:c r="E209" s="7"/>
      <x:c r="F209" s="7"/>
      <x:c r="G209" s="11" t="str">
        <x:f>IF(COUNTA(A209:F209)=0,"",IF(OR(NOT(ISNUMBER(A209)),A209&lt;DATE('Resumo'!$B$6,1,1),A209&gt;=DATE('Resumo'!$B$6+1,1,1),B209="",C209="",NOT(ISNUMBER(D209)),E209="",F209&lt;&gt;"Sim"),"Pendente: dados ou comprovante","Completo"))</x:f>
      </x:c>
    </x:row>
  </x:sheetData>
  <x:conditionalFormatting sqref="G10:G209">
    <x:cfRule type="containsText" dxfId="2" priority="1" operator="containsText" text="Pendente"/>
  </x:conditionalFormatting>
  <x:dataValidations count="4">
    <x:dataValidation type="list" errorStyle="stop" showErrorMessage="1" errorTitle="Confira o preenchimento" error="Selecione uma opção da lista." sqref="B10:B209">
      <x:formula1>"Salário,Autônomo,Aluguel,Outros"</x:formula1>
    </x:dataValidation>
    <x:dataValidation type="list" errorStyle="stop" showErrorMessage="1" errorTitle="Confira o preenchimento" error="Selecione uma opção da lista." sqref="F10:F209">
      <x:formula1>"Sim,Não"</x:formula1>
    </x:dataValidation>
    <x:dataValidation type="decimal" errorStyle="stop" operator="greaterThanOrEqual" showErrorMessage="1" errorTitle="Confira o preenchimento" error="Informe um valor maior ou igual a zero." sqref="D10:D209">
      <x:formula1>0</x:formula1>
    </x:dataValidation>
    <x:dataValidation type="date" errorStyle="stop" operator="between" showErrorMessage="1" errorTitle="Confira o preenchimento" error="A data deve pertencer ao ano-calendário selecionado em Resumo." sqref="A10:A209">
      <x:formula1>DATE('Resumo'!$B$6,1,1)</x:formula1>
      <x:formula2>DATE('Resumo'!$B$6,12,31)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e67b221b06d4454"/>
  </x:tableParts>
</x:worksheet>
</file>

<file path=xl/worksheets/sheet5.xml><?xml version="1.0" encoding="utf-8"?>
<x:worksheet xmlns:x="http://schemas.openxmlformats.org/spreadsheetml/2006/main">
  <x:sheetPr>
    <x:tabColor rgb="FF243653"/>
  </x:sheetPr>
  <x:sheetViews>
    <x:sheetView showGridLines="0" workbookViewId="0"/>
  </x:sheetViews>
  <x:sheetFormatPr defaultRowHeight="15"/>
  <x:cols>
    <x:col min="1" max="1" width="40" hidden="0" customWidth="1"/>
    <x:col min="2" max="2" width="90" hidden="0" customWidth="1"/>
    <x:col min="3" max="3" width="20" hidden="0" customWidth="1"/>
    <x:col min="4" max="4" width="20" hidden="0" customWidth="1"/>
  </x:cols>
  <x:sheetData>
    <x:row r="1" ht="24" customHeight="1">
      <x:c r="A1" s="2"/>
      <x:c r="B1" s="2"/>
      <x:c r="C1" s="2"/>
      <x:c r="D1" s="2"/>
    </x:row>
    <x:row r="2" ht="34" customHeight="1">
      <x:c r="A2" s="3" t="str">
        <x:v>Ajuda e links rápidos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8" customHeight="1">
      <x:c r="A4" s="6" t="str">
        <x:f>HYPERLINK("#'Resumo'!A1","Resumo")</x:f>
        <x:v>Resumo</x:v>
      </x:c>
      <x:c r="B4" s="6" t="str">
        <x:f>HYPERLINK("#'Titular'!A1","Titular")</x:f>
        <x:v>Titular</x:v>
      </x:c>
      <x:c r="C4" s="6" t="str">
        <x:f>HYPERLINK("#'Informes'!A1","Informes")</x:f>
        <x:v>Informes</x:v>
      </x:c>
      <x:c r="D4" s="6" t="str">
        <x:f>HYPERLINK("#'Notas'!A1","Notas")</x:f>
        <x:v>Notas</x:v>
      </x:c>
    </x:row>
    <x:row r="5" ht="24" customHeight="1">
      <x:c r="A5" s="2"/>
      <x:c r="B5" s="2"/>
      <x:c r="C5" s="2"/>
      <x:c r="D5" s="2"/>
    </x:row>
    <x:row r="6" ht="24" customHeight="1">
      <x:c r="A6" s="2"/>
      <x:c r="B6" s="2"/>
      <x:c r="C6" s="2"/>
      <x:c r="D6" s="2"/>
    </x:row>
    <x:row r="7" ht="34" customHeight="1">
      <x:c r="A7" s="9" t="str">
        <x:v>Ação</x:v>
      </x:c>
      <x:c r="B7" s="9" t="str">
        <x:v>Como fazer</x:v>
      </x:c>
      <x:c r="C7" s="2"/>
      <x:c r="D7" s="2"/>
    </x:row>
    <x:row r="8" ht="24" customHeight="1">
      <x:c r="A8" s="2" t="str">
        <x:v>Começar</x:v>
      </x:c>
      <x:c r="B8" s="2" t="str">
        <x:v>Salve uma cópia e substitua os exemplos.</x:v>
      </x:c>
      <x:c r="C8" s="2"/>
      <x:c r="D8" s="2"/>
    </x:row>
    <x:row r="9" ht="24" customHeight="1">
      <x:c r="A9" s="2" t="str">
        <x:v>Comprovantes</x:v>
      </x:c>
      <x:c r="B9" s="2" t="str">
        <x:v>Registre nome ou URL. O arquivo não é incorporado ao Excel.</x:v>
      </x:c>
      <x:c r="C9" s="2"/>
      <x:c r="D9" s="2"/>
    </x:row>
    <x:row r="10" ht="24" customHeight="1">
      <x:c r="A10" s="2" t="str">
        <x:v>Abrir comprovantes</x:v>
      </x:c>
      <x:c r="B10" s="2" t="str">
        <x:v>Cole uma URL válida ou use Inserir &gt; Link no Excel.</x:v>
      </x:c>
      <x:c r="C10" s="2"/>
      <x:c r="D10" s="2"/>
    </x:row>
    <x:row r="11" ht="24" customHeight="1">
      <x:c r="A11" s="2" t="str">
        <x:v>Bancos</x:v>
      </x:c>
      <x:c r="B11" s="2" t="str">
        <x:v>Campo livre para não restringir instituições.</x:v>
      </x:c>
      <x:c r="C11" s="2"/>
      <x:c r="D11" s="2"/>
    </x:row>
    <x:row r="12" ht="24" customHeight="1">
      <x:c r="A12" s="2" t="str">
        <x:v>Filtrar</x:v>
      </x:c>
      <x:c r="B12" s="2" t="str">
        <x:v>Use as setas no cabeçalho das tabelas.</x:v>
      </x:c>
      <x:c r="C12" s="2"/>
      <x:c r="D12" s="2"/>
    </x:row>
    <x:row r="13" ht="24" customHeight="1">
      <x:c r="A13" s="2" t="str">
        <x:v>Pendências</x:v>
      </x:c>
      <x:c r="B13" s="2" t="str">
        <x:v>Complete os campos e marque Recebido? como Sim.</x:v>
      </x:c>
      <x:c r="C13" s="2"/>
      <x:c r="D13" s="2"/>
    </x:row>
    <x:row r="14" ht="24" customHeight="1">
      <x:c r="A14" s="2" t="str">
        <x:v>CPF e CEP</x:v>
      </x:c>
      <x:c r="B14" s="2" t="str">
        <x:v>Mantenha como texto para preservar zeros iniciais.</x:v>
      </x:c>
      <x:c r="C14" s="2"/>
      <x:c r="D14" s="2"/>
    </x:row>
    <x:row r="15" ht="24" customHeight="1">
      <x:c r="A15" s="2" t="str">
        <x:v>Limite das listas</x:v>
      </x:c>
      <x:c r="B15" s="2" t="str">
        <x:v>As fórmulas e validações cobrem as linhas 10 a 209.</x:v>
      </x:c>
      <x:c r="C15" s="2"/>
      <x:c r="D15" s="2"/>
    </x:row>
    <x:row r="16" ht="24" customHeight="1">
      <x:c r="A16" s="2" t="str">
        <x:v>Trocar o ano</x:v>
      </x:c>
      <x:c r="B16" s="2" t="str">
        <x:v>Use uma nova cópia. Notas é filtrada pelo ano; Informes não.</x:v>
      </x:c>
      <x:c r="C16" s="2"/>
      <x:c r="D16" s="2"/>
    </x:row>
    <x:row r="17" ht="24" customHeight="1">
      <x:c r="A17" s="2" t="str">
        <x:v>Validação</x:v>
      </x:c>
      <x:c r="B17" s="2" t="str">
        <x:v>Colar dados pode contornar regras do Excel. Revise as pendências.</x:v>
      </x:c>
      <x:c r="C17" s="2"/>
      <x:c r="D17" s="2"/>
    </x:row>
    <x:row r="18" ht="24" customHeight="1">
      <x:c r="A18" s="2" t="str">
        <x:v>Publicação</x:v>
      </x:c>
      <x:c r="B18" s="2" t="str">
        <x:v>Publique somente a versão com dados fictícios.</x:v>
      </x:c>
      <x:c r="C18" s="2"/>
      <x:c r="D18" s="2"/>
    </x:row>
    <x:row r="19" ht="24" customHeight="1">
      <x:c r="A19" s="2" t="str">
        <x:v>Abrangência</x:v>
      </x:c>
      <x:c r="B19" s="2" t="str">
        <x:v>Não cobre todas as fichas da declaração.</x:v>
      </x:c>
      <x:c r="C19" s="2"/>
      <x:c r="D19" s="2"/>
    </x:row>
    <x:row r="20" ht="24" customHeight="1">
      <x:c r="A20" s="2" t="str">
        <x:v>Tributação</x:v>
      </x:c>
      <x:c r="B20" s="2" t="str">
        <x:v>Não calcula imposto nem classifica dedutibilidade.</x:v>
      </x:c>
      <x:c r="C20" s="2"/>
      <x:c r="D20" s="2"/>
    </x:row>
    <x:row r="21" ht="24" customHeight="1">
      <x:c r="A21" s="2"/>
      <x:c r="B21" s="2"/>
      <x:c r="C21" s="2"/>
      <x:c r="D21" s="2"/>
    </x:row>
    <x:row r="22" ht="24" customHeight="1">
      <x:c r="A22" s="2"/>
      <x:c r="B22" s="2"/>
      <x:c r="C22" s="2"/>
      <x:c r="D22" s="2"/>
    </x:row>
    <x:row r="23" ht="24" customHeight="1">
      <x:c r="A23" s="2" t="str">
        <x:f>HYPERLINK("https://www.gov.br/receitafederal/pt-br/assuntos/meu-imposto-de-renda","Meu Imposto de Renda")</x:f>
        <x:v>Meu Imposto de Renda</x:v>
      </x:c>
      <x:c r="B23" s="2" t="str">
        <x:f>HYPERLINK("https://docs.github.com/pt","Documentação do GitHub")</x:f>
        <x:v>Documentação do GitHub</x:v>
      </x:c>
      <x:c r="C23" s="2"/>
      <x:c r="D23" s="2"/>
    </x:row>
    <x:row r="24" ht="24" customHeight="1">
      <x:c r="A24" s="2"/>
      <x:c r="B24" s="2"/>
      <x:c r="C24" s="2"/>
      <x:c r="D24" s="2"/>
    </x:row>
    <x:row r="25" ht="24" customHeight="1">
      <x:c r="A25" s="2"/>
      <x:c r="B25" s="2"/>
      <x:c r="C25" s="2"/>
      <x:c r="D25" s="2"/>
    </x:row>
  </x:sheetData>
  <x:pageMargins left="0.7" right="0.7" top="0.75" bottom="0.75" header="0.3" footer="0.3"/>
</x:worksheet>
</file>