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cbe0bfb21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" sheetId="1" r:id="R7f04d2e81fd44330"/>
    <x:sheet xmlns:r="http://schemas.openxmlformats.org/officeDocument/2006/relationships" name="Configuracoes" sheetId="2" r:id="R0a47964ed1594063"/>
  </x:sheets>
  <x:definedNames>
    <x:definedName name="aporte">'Simulador'!$B$5</x:definedName>
    <x:definedName name="prazo_anos">'Simulador'!$B$6</x:definedName>
    <x:definedName name="taxa_mensal">'Simulador'!$B$7</x:definedName>
    <x:definedName name="perfil_investidor">'Simulador'!$B$8</x:definedName>
    <x:definedName name="salario_mensal">'Simulador'!$B$9</x:definedName>
    <x:definedName name="aporte_sugerido">'Simulador'!$B$10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$&quot; #,##0.00"/>
    <x:numFmt numFmtId="201" formatCode="0"/>
    <x:numFmt numFmtId="202" formatCode="0.00%"/>
    <x:numFmt numFmtId="203" formatCode="0%"/>
  </x:numFmts>
  <x:fonts count="18">
    <x:font>
      <x:sz val="11"/>
      <x:name val="Carlito"/>
    </x:font>
    <x:font>
      <x:b/>
      <x:sz val="16"/>
      <x:color rgb="FFFFFFFF"/>
      <x:name val="Arial"/>
    </x:font>
    <x:font>
      <x:i/>
      <x:sz val="10"/>
      <x:color rgb="FF52606D"/>
      <x:name val="Arial"/>
    </x:font>
    <x:font>
      <x:b/>
      <x:sz val="11"/>
      <x:color rgb="FFFFFFFF"/>
      <x:name val="Arial"/>
    </x:font>
    <x:font>
      <x:sz val="10"/>
      <x:color rgb="FF243447"/>
      <x:name val="Arial"/>
    </x:font>
    <x:font>
      <x:b/>
      <x:sz val="11"/>
      <x:color rgb="FF245A91"/>
      <x:name val="Arial"/>
    </x:font>
    <x:font>
      <x:b/>
      <x:sz val="11"/>
      <x:color rgb="FF202020"/>
      <x:name val="Arial"/>
    </x:font>
    <x:font>
      <x:b/>
      <x:sz val="10"/>
      <x:color rgb="FF12345B"/>
      <x:name val="Arial"/>
    </x:font>
    <x:font>
      <x:sz val="10"/>
      <x:color rgb="FF202020"/>
      <x:name val="Arial"/>
    </x:font>
    <x:font>
      <x:b/>
      <x:sz val="10"/>
      <x:color rgb="FF243447"/>
      <x:name val="Arial"/>
    </x:font>
    <x:font>
      <x:i/>
      <x:sz val="9"/>
      <x:color rgb="FF52606D"/>
      <x:name val="Arial"/>
    </x:font>
    <x:font>
      <x:sz val="11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9"/>
      <x:color rgb="FF52606D"/>
      <x:name val="Arial"/>
    </x:font>
    <x:font>
      <x:sz val="10"/>
      <x:color rgb="FF245A91"/>
      <x:name val="Arial"/>
    </x:font>
    <x:font>
      <x:b/>
      <x:sz val="10"/>
      <x:color rgb="FF202020"/>
      <x:name val="Arial"/>
    </x:font>
    <x:font>
      <x:sz val="10"/>
      <x:color rgb="FF12345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245A91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AF2F8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</x:fills>
  <x:borders count="12">
    <x:border>
      <x:left/>
      <x:right/>
      <x:top/>
      <x:bottom/>
      <x:diagonal/>
    </x:border>
    <x:border>
      <x:left style="thin">
        <x:color rgb="FFC8D3DE"/>
      </x:left>
      <x:right/>
      <x:top style="thin">
        <x:color rgb="FFC8D3DE"/>
      </x:top>
      <x:bottom/>
      <x:diagonal/>
    </x:border>
    <x:border>
      <x:left/>
      <x:right style="thin">
        <x:color rgb="FFC8D3DE"/>
      </x:right>
      <x:top style="thin">
        <x:color rgb="FFC8D3DE"/>
      </x:top>
      <x:bottom/>
      <x:diagonal/>
    </x:border>
    <x:border>
      <x:left style="thin">
        <x:color rgb="FFC8D3DE"/>
      </x:left>
      <x:right/>
      <x:top/>
      <x:bottom/>
      <x:diagonal/>
    </x:border>
    <x:border>
      <x:left/>
      <x:right style="thin">
        <x:color rgb="FFC8D3DE"/>
      </x:right>
      <x:top/>
      <x:bottom/>
      <x:diagonal/>
    </x:border>
    <x:border>
      <x:left style="thin">
        <x:color rgb="FFC8D3DE"/>
      </x:left>
      <x:right/>
      <x:top/>
      <x:bottom style="thin">
        <x:color rgb="FFC8D3DE"/>
      </x:bottom>
      <x:diagonal/>
    </x:border>
    <x:border>
      <x:left/>
      <x:right style="thin">
        <x:color rgb="FFC8D3DE"/>
      </x:right>
      <x:top/>
      <x:bottom style="thin">
        <x:color rgb="FFC8D3DE"/>
      </x:bottom>
      <x:diagonal/>
    </x:border>
    <x:border>
      <x:left/>
      <x:right/>
      <x:top style="thin">
        <x:color rgb="FFC8D3DE"/>
      </x:top>
      <x:bottom/>
      <x:diagonal/>
    </x:border>
    <x:border>
      <x:left/>
      <x:right/>
      <x:top/>
      <x:bottom style="thin">
        <x:color rgb="FFC8D3DE"/>
      </x:bottom>
      <x:diagonal/>
    </x:border>
    <x:border>
      <x:left style="thin">
        <x:color rgb="FFC8D3DE"/>
      </x:left>
      <x:right/>
      <x:top style="thin">
        <x:color rgb="FFC8D3DE"/>
      </x:top>
      <x:bottom style="thin">
        <x:color rgb="FFC8D3DE"/>
      </x:bottom>
      <x:diagonal/>
    </x:border>
    <x:border>
      <x:left/>
      <x:right/>
      <x:top style="thin">
        <x:color rgb="FFC8D3DE"/>
      </x:top>
      <x:bottom style="thin">
        <x:color rgb="FFC8D3DE"/>
      </x:bottom>
      <x:diagonal/>
    </x:border>
    <x:border>
      <x:left/>
      <x:right style="thin">
        <x:color rgb="FFC8D3DE"/>
      </x:right>
      <x:top style="thin">
        <x:color rgb="FFC8D3DE"/>
      </x:top>
      <x:bottom style="thin">
        <x:color rgb="FFC8D3DE"/>
      </x:bottom>
      <x:diagonal/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0" fontId="5" fillId="4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200" fontId="6" fillId="5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5" fillId="4" borderId="4" xfId="0" applyNumberFormat="1" applyFont="1" applyFill="1" applyBorder="1" applyAlignment="1">
      <x:alignment horizontal="right" vertical="center"/>
    </x:xf>
    <x:xf numFmtId="201" fontId="5" fillId="4" borderId="4" xfId="0" applyNumberFormat="1" applyFont="1" applyFill="1" applyBorder="1" applyAlignment="1">
      <x:alignment horizontal="right" vertical="center"/>
    </x:xf>
    <x:xf numFmtId="202" fontId="5" fillId="4" borderId="4" xfId="0" applyNumberFormat="1" applyFont="1" applyFill="1" applyBorder="1" applyAlignment="1">
      <x:alignment horizontal="right" vertical="center"/>
    </x:xf>
    <x:xf numFmtId="0" fontId="5" fillId="4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vertical="center"/>
    </x:xf>
    <x:xf numFmtId="200" fontId="6" fillId="5" borderId="6" xfId="0" applyNumberFormat="1" applyFont="1" applyFill="1" applyBorder="1" applyAlignment="1">
      <x:alignment horizontal="right" vertical="center"/>
    </x:xf>
    <x:xf numFmtId="202" fontId="6" fillId="5" borderId="0" xfId="0" applyNumberFormat="1" applyFont="1" applyFill="1" applyBorder="1" applyAlignment="1">
      <x:alignment horizontal="right" vertical="center"/>
    </x:xf>
    <x:xf numFmtId="200" fontId="6" fillId="5" borderId="4" xfId="0" applyNumberFormat="1" applyFont="1" applyFill="1" applyBorder="1" applyAlignment="1">
      <x:alignment horizontal="right" vertical="center"/>
    </x:xf>
    <x:xf numFmtId="202" fontId="6" fillId="5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right"/>
    </x:xf>
    <x:xf numFmtId="200" fontId="8" fillId="5" borderId="0" xfId="0" applyNumberFormat="1" applyFont="1" applyFill="1" applyBorder="1" applyAlignment="1">
      <x:alignment horizontal="right"/>
    </x:xf>
    <x:xf numFmtId="0" fontId="3" fillId="3" borderId="7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/>
    </x:xf>
    <x:xf numFmtId="200" fontId="8" fillId="5" borderId="4" xfId="0" applyNumberFormat="1" applyFont="1" applyFill="1" applyBorder="1" applyAlignment="1">
      <x:alignment horizontal="right"/>
    </x:xf>
    <x:xf numFmtId="0" fontId="4" fillId="7" borderId="5" xfId="0" applyNumberFormat="1" applyFont="1" applyFill="1" applyBorder="1" applyAlignment="1">
      <x:alignment horizontal="center"/>
    </x:xf>
    <x:xf numFmtId="200" fontId="8" fillId="5" borderId="8" xfId="0" applyNumberFormat="1" applyFont="1" applyFill="1" applyBorder="1" applyAlignment="1">
      <x:alignment horizontal="right"/>
    </x:xf>
    <x:xf numFmtId="200" fontId="8" fillId="5" borderId="6" xfId="0" applyNumberFormat="1" applyFont="1" applyFill="1" applyBorder="1" applyAlignment="1">
      <x:alignment horizontal="right"/>
    </x:xf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203" fontId="8" fillId="5" borderId="0" xfId="0" applyNumberFormat="1" applyFont="1" applyFill="1" applyBorder="1" applyAlignment="1">
      <x:alignment horizontal="right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/>
    <x:xf numFmtId="0" fontId="4" fillId="0" borderId="5" xfId="0" applyNumberFormat="1" applyFont="1" applyFill="1" applyBorder="1"/>
    <x:xf numFmtId="203" fontId="8" fillId="5" borderId="8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200" fontId="9" fillId="8" borderId="0" xfId="0" applyNumberFormat="1" applyFont="1" applyFill="1" applyBorder="1" applyAlignment="1">
      <x:alignment vertical="center"/>
    </x:xf>
    <x:xf numFmtId="0" fontId="9" fillId="8" borderId="9" xfId="0" applyNumberFormat="1" applyFont="1" applyFill="1" applyBorder="1" applyAlignment="1">
      <x:alignment vertical="center"/>
    </x:xf>
    <x:xf numFmtId="0" fontId="9" fillId="8" borderId="10" xfId="0" applyNumberFormat="1" applyFont="1" applyFill="1" applyBorder="1" applyAlignment="1">
      <x:alignment vertical="center"/>
    </x:xf>
    <x:xf numFmtId="200" fontId="9" fillId="8" borderId="11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horizontal="center" vertical="center"/>
    </x:xf>
    <x:xf numFmtId="200" fontId="8" fillId="5" borderId="0" xfId="0" applyNumberFormat="1" applyFont="1" applyFill="1" applyBorder="1" applyAlignment="1">
      <x:alignment horizontal="right" vertical="center"/>
    </x:xf>
    <x:xf numFmtId="200" fontId="8" fillId="5" borderId="4" xfId="0" applyNumberFormat="1" applyFont="1" applyFill="1" applyBorder="1" applyAlignment="1">
      <x:alignment horizontal="right" vertical="center"/>
    </x:xf>
    <x:xf numFmtId="203" fontId="8" fillId="5" borderId="0" xfId="0" applyNumberFormat="1" applyFont="1" applyFill="1" applyBorder="1" applyAlignment="1">
      <x:alignment horizontal="right" vertical="center"/>
    </x:xf>
    <x:xf numFmtId="0" fontId="4" fillId="7" borderId="5" xfId="0" applyNumberFormat="1" applyFont="1" applyFill="1" applyBorder="1" applyAlignment="1">
      <x:alignment horizontal="center" vertical="center"/>
    </x:xf>
    <x:xf numFmtId="200" fontId="8" fillId="5" borderId="8" xfId="0" applyNumberFormat="1" applyFont="1" applyFill="1" applyBorder="1" applyAlignment="1">
      <x:alignment horizontal="right" vertical="center"/>
    </x:xf>
    <x:xf numFmtId="200" fontId="8" fillId="5" borderId="6" xfId="0" applyNumberFormat="1" applyFont="1" applyFill="1" applyBorder="1" applyAlignment="1">
      <x:alignment horizontal="right" vertical="center"/>
    </x:xf>
    <x:xf numFmtId="203" fontId="8" fillId="5" borderId="8" xfId="0" applyNumberFormat="1" applyFont="1" applyFill="1" applyBorder="1" applyAlignment="1">
      <x:alignment horizontal="right" vertic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horizontal="center" wrapText="1"/>
    </x:xf>
    <x:xf numFmtId="0" fontId="13" fillId="3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3" fontId="15" fillId="4" borderId="0" xfId="0" applyNumberFormat="1" applyFont="1" applyFill="1" applyBorder="1" applyAlignment="1">
      <x:alignment vertical="center"/>
    </x:xf>
    <x:xf numFmtId="203" fontId="15" fillId="4" borderId="0" xfId="0" applyNumberFormat="1" applyFont="1" applyFill="1" applyBorder="1" applyAlignment="1">
      <x:alignment horizontal="right" vertical="center"/>
    </x:xf>
    <x:xf numFmtId="203" fontId="4" fillId="5" borderId="0" xfId="0" applyNumberFormat="1" applyFont="1" applyFill="1" applyBorder="1" applyAlignment="1">
      <x:alignment vertical="center"/>
    </x:xf>
    <x:xf numFmtId="203" fontId="16" fillId="5" borderId="0" xfId="0" applyNumberFormat="1" applyFont="1" applyFill="1" applyBorder="1" applyAlignment="1">
      <x:alignment vertical="center"/>
    </x:xf>
    <x:xf numFmtId="203" fontId="16" fillId="5" borderId="0" xfId="0" applyNumberFormat="1" applyFont="1" applyFill="1" applyBorder="1" applyAlignment="1">
      <x:alignment horizontal="center" vertical="center"/>
    </x:xf>
    <x:xf numFmtId="0" fontId="13" fillId="3" borderId="1" xfId="0" applyNumberFormat="1" applyFont="1" applyFill="1" applyBorder="1" applyAlignment="1">
      <x:alignment horizontal="center" vertical="center" wrapText="1"/>
    </x:xf>
    <x:xf numFmtId="0" fontId="13" fillId="3" borderId="7" xfId="0" applyNumberFormat="1" applyFont="1" applyFill="1" applyBorder="1" applyAlignment="1">
      <x:alignment horizontal="center" vertical="center" wrapText="1"/>
    </x:xf>
    <x:xf numFmtId="0" fontId="13" fillId="3" borderId="2" xfId="0" applyNumberFormat="1" applyFont="1" applyFill="1" applyBorder="1" applyAlignment="1">
      <x:alignment horizontal="center" vertical="center" wrapText="1"/>
    </x:xf>
    <x:xf numFmtId="0" fontId="14" fillId="5" borderId="3" xfId="0" applyNumberFormat="1" applyFont="1" applyFill="1" applyBorder="1" applyAlignment="1">
      <x:alignment vertical="center"/>
    </x:xf>
    <x:xf numFmtId="203" fontId="16" fillId="5" borderId="4" xfId="0" applyNumberFormat="1" applyFont="1" applyFill="1" applyBorder="1" applyAlignment="1">
      <x:alignment horizontal="center" vertical="center"/>
    </x:xf>
    <x:xf numFmtId="0" fontId="14" fillId="5" borderId="5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3" fontId="15" fillId="4" borderId="8" xfId="0" applyNumberFormat="1" applyFont="1" applyFill="1" applyBorder="1" applyAlignment="1">
      <x:alignment horizontal="right" vertical="center"/>
    </x:xf>
    <x:xf numFmtId="203" fontId="16" fillId="5" borderId="6" xfId="0" applyNumberFormat="1" applyFont="1" applyFill="1" applyBorder="1" applyAlignment="1">
      <x:alignment horizontal="center" vertical="center"/>
    </x:xf>
    <x:xf numFmtId="0" fontId="17" fillId="6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de468889c4520" /><Relationship Type="http://schemas.openxmlformats.org/officeDocument/2006/relationships/theme" Target="/xl/theme/theme1.xml" Id="R3da55125b9694573" /><Relationship Type="http://schemas.openxmlformats.org/officeDocument/2006/relationships/sharedStrings" Target="/xl/sharedStrings.xml" Id="Re3708142154c4f44" /><Relationship Type="http://schemas.openxmlformats.org/officeDocument/2006/relationships/worksheet" Target="/xl/worksheets/sheet1.xml" Id="R7f04d2e81fd44330" /><Relationship Type="http://schemas.openxmlformats.org/officeDocument/2006/relationships/worksheet" Target="/xl/worksheets/sheet2.xml" Id="R0a47964ed15940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100accafb84a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Percentual do aporte por tipo de FII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Percentual</c:v>
          </c:tx>
          <c:cat>
            <c:strRef>
              <c:f>'Simulador'!$E$15:$E$20</c:f>
              <c:strCache>
                <c:ptCount val="0"/>
              </c:strCache>
            </c:strRef>
          </c:cat>
          <c:val>
            <c:numRef>
              <c:f>'Simulador'!$F$15:$F$20</c:f>
              <c:numCache>
                <c:formatCode>0%</c:formatCode>
                <c:ptCount val="0"/>
              </c:numCache>
            </c:numRef>
          </c:val>
        </c:ser>
      </c:pie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100accafb84a4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5e82c939664a5c" /></Relationships>
</file>

<file path=xl/worksheets/sheet1.xml><?xml version="1.0" encoding="utf-8"?>
<x:worksheet xmlns:x="http://schemas.openxmlformats.org/spreadsheetml/2006/main">
  <x:sheetPr>
    <x:tabColor rgb="FF12345B"/>
  </x:sheetPr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23" hidden="0" customWidth="1"/>
    <x:col min="4" max="4" width="29" hidden="0" customWidth="1"/>
    <x:col min="5" max="5" width="25" hidden="0" customWidth="1"/>
    <x:col min="6" max="6" width="16" hidden="0" customWidth="1"/>
    <x:col min="7" max="7" width="18" hidden="0" customWidth="1"/>
    <x:col min="8" max="8" width="4" hidden="0" customWidth="1"/>
  </x:cols>
  <x:sheetData>
    <x:row r="1" ht="34" customHeight="1">
      <x:c r="A1" s="3" t="str">
        <x:v>SIMULADOR DE RENDA COM FIIs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5" t="str">
        <x:v>Informe os dados em amarelo. As células cinzas mostram resultados calculados. Valores de exemplo para estudo.</x:v>
      </x:c>
      <x:c r="B2" s="5"/>
      <x:c r="C2" s="5"/>
      <x:c r="D2" s="5"/>
      <x:c r="E2" s="5"/>
      <x:c r="F2" s="5"/>
      <x:c r="G2" s="5"/>
      <x:c r="H2" s="5"/>
    </x:row>
    <x:row r="3">
      <x:c r="A3" s="73"/>
      <x:c r="B3" s="73"/>
      <x:c r="C3" s="73"/>
      <x:c r="D3" s="73"/>
      <x:c r="E3" s="73"/>
      <x:c r="F3" s="73"/>
      <x:c r="G3" s="73"/>
      <x:c r="H3" s="73"/>
    </x:row>
    <x:row r="4">
      <x:c r="A4" s="23" t="str">
        <x:v>ENTRADAS DA SIMULAÇÃO</x:v>
      </x:c>
      <x:c r="B4" s="24"/>
      <x:c r="C4" s="73"/>
      <x:c r="D4" s="23" t="str">
        <x:v>RESULTADOS DO APORTE INFORMADO</x:v>
      </x:c>
      <x:c r="E4" s="24"/>
      <x:c r="F4" s="8"/>
      <x:c r="G4" s="73"/>
      <x:c r="H4" s="73"/>
    </x:row>
    <x:row r="5" ht="24" customHeight="1">
      <x:c r="A5" s="25" t="str">
        <x:v>Aporte mensal</x:v>
      </x:c>
      <x:c r="B5" s="26" t="n">
        <x:v>1000</x:v>
      </x:c>
      <x:c r="C5" s="73"/>
      <x:c r="D5" s="25" t="str">
        <x:v>Patrimônio acumulado</x:v>
      </x:c>
      <x:c r="E5" s="33" t="n">
        <x:f>FV(taxa_mensal,prazo_anos*12,-aporte,0,0)</x:f>
        <x:v>200217.4694099167</x:v>
      </x:c>
      <x:c r="F5" s="73"/>
      <x:c r="G5" s="73"/>
      <x:c r="H5" s="73"/>
    </x:row>
    <x:row r="6" ht="24" customHeight="1">
      <x:c r="A6" s="25" t="str">
        <x:v>Prazo (anos)</x:v>
      </x:c>
      <x:c r="B6" s="27" t="n">
        <x:v>10</x:v>
      </x:c>
      <x:c r="C6" s="73"/>
      <x:c r="D6" s="25" t="str">
        <x:v>Dividendos estimados por mês</x:v>
      </x:c>
      <x:c r="E6" s="33" t="n">
        <x:f>E5*taxa_mensal</x:f>
        <x:v>1601.7397552793336</x:v>
      </x:c>
      <x:c r="F6" s="73"/>
      <x:c r="G6" s="73"/>
      <x:c r="H6" s="73"/>
    </x:row>
    <x:row r="7" ht="24" customHeight="1">
      <x:c r="A7" s="25" t="str">
        <x:v>Rendimento mensal</x:v>
      </x:c>
      <x:c r="B7" s="28" t="n">
        <x:v>0.008</x:v>
      </x:c>
      <x:c r="C7" s="73"/>
      <x:c r="D7" s="25" t="str">
        <x:v>Total aportado</x:v>
      </x:c>
      <x:c r="E7" s="33" t="n">
        <x:f>aporte*prazo_anos*12</x:f>
        <x:v>120000</x:v>
      </x:c>
      <x:c r="F7" s="73"/>
      <x:c r="G7" s="73"/>
      <x:c r="H7" s="73"/>
    </x:row>
    <x:row r="8" ht="24" customHeight="1">
      <x:c r="A8" s="25" t="str">
        <x:v>Perfil de investidor</x:v>
      </x:c>
      <x:c r="B8" s="29" t="str">
        <x:v>Moderado</x:v>
      </x:c>
      <x:c r="C8" s="73"/>
      <x:c r="D8" s="30" t="str">
        <x:v>Rendimento anual equivalente</x:v>
      </x:c>
      <x:c r="E8" s="34" t="n">
        <x:f>(1+taxa_mensal)^12-1</x:f>
        <x:v>0.10033869371614634</x:v>
      </x:c>
      <x:c r="F8" s="73"/>
      <x:c r="G8" s="73"/>
      <x:c r="H8" s="73"/>
    </x:row>
    <x:row r="9" ht="24" customHeight="1">
      <x:c r="A9" s="25" t="str">
        <x:v>Salário mensal</x:v>
      </x:c>
      <x:c r="B9" s="26" t="n">
        <x:v>5000</x:v>
      </x:c>
      <x:c r="C9" s="73"/>
      <x:c r="D9" s="73"/>
      <x:c r="E9" s="73"/>
      <x:c r="F9" s="73"/>
      <x:c r="G9" s="73"/>
      <x:c r="H9" s="73"/>
    </x:row>
    <x:row r="10" ht="24" customHeight="1">
      <x:c r="A10" s="30" t="str">
        <x:v>Sugestão de aporte (30% do salário)</x:v>
      </x:c>
      <x:c r="B10" s="31" t="n">
        <x:f>B9*30%</x:f>
        <x:v>1500</x:v>
      </x:c>
      <x:c r="C10" s="73"/>
      <x:c r="D10" s="23" t="str">
        <x:v>SIMULAÇÃO COM A SUGESTÃO DE APORTE</x:v>
      </x:c>
      <x:c r="E10" s="24"/>
      <x:c r="F10" s="8"/>
      <x:c r="G10" s="73"/>
      <x:c r="H10" s="73"/>
    </x:row>
    <x:row r="11">
      <x:c r="A11" s="73"/>
      <x:c r="B11" s="73"/>
      <x:c r="C11" s="73"/>
      <x:c r="D11" s="25" t="str">
        <x:v>Patrimônio acumulado</x:v>
      </x:c>
      <x:c r="E11" s="33" t="n">
        <x:f>FV(taxa_mensal,prazo_anos*12,-aporte_sugerido,0,0)</x:f>
        <x:v>300326.20411487506</x:v>
      </x:c>
      <x:c r="F11" s="73"/>
      <x:c r="G11" s="73"/>
      <x:c r="H11" s="73"/>
    </x:row>
    <x:row r="12">
      <x:c r="A12" s="73"/>
      <x:c r="B12" s="73"/>
      <x:c r="C12" s="73"/>
      <x:c r="D12" s="30" t="str">
        <x:v>Dividendos estimados por mês</x:v>
      </x:c>
      <x:c r="E12" s="31" t="n">
        <x:f>E11*taxa_mensal</x:f>
        <x:v>2402.6096329190004</x:v>
      </x:c>
      <x:c r="F12" s="73"/>
      <x:c r="G12" s="73"/>
      <x:c r="H12" s="73"/>
    </x:row>
    <x:row r="13">
      <x:c r="A13" s="23" t="str">
        <x:v>PROJEÇÃO POR PRAZO</x:v>
      </x:c>
      <x:c r="B13" s="46"/>
      <x:c r="C13" s="24"/>
      <x:c r="D13" s="73"/>
      <x:c r="E13" s="23" t="str">
        <x:v>DIVISÃO DO APORTE POR TIPO DE FII</x:v>
      </x:c>
      <x:c r="F13" s="46"/>
      <x:c r="G13" s="24"/>
      <x:c r="H13" s="73"/>
    </x:row>
    <x:row r="14" ht="22" customHeight="1">
      <x:c r="A14" s="47" t="str">
        <x:v>Prazo (anos)</x:v>
      </x:c>
      <x:c r="B14" s="39" t="str">
        <x:v>Patrimônio estimado</x:v>
      </x:c>
      <x:c r="C14" s="48" t="str">
        <x:v>Dividendos estimados / mês</x:v>
      </x:c>
      <x:c r="D14" s="73"/>
      <x:c r="E14" s="57" t="str">
        <x:v>Tipo de fundo</x:v>
      </x:c>
      <x:c r="F14" s="55" t="str">
        <x:v>Percentual</x:v>
      </x:c>
      <x:c r="G14" s="58" t="str">
        <x:v>Aporte mensal</x:v>
      </x:c>
      <x:c r="H14" s="73"/>
    </x:row>
    <x:row r="15" ht="22" customHeight="1">
      <x:c r="A15" s="74" t="n">
        <x:v>2</x:v>
      </x:c>
      <x:c r="B15" s="75" t="n">
        <x:f>FV(taxa_mensal,$A15*12,-aporte,0,0)</x:f>
        <x:v>26343.155111119424</x:v>
      </x:c>
      <x:c r="C15" s="76" t="n">
        <x:f>B15*taxa_mensal</x:f>
        <x:v>210.7452408889554</x:v>
      </x:c>
      <x:c r="D15" s="73"/>
      <x:c r="E15" s="25" t="str">
        <x:v>Recebíveis (papel)</x:v>
      </x:c>
      <x:c r="F15" s="77" t="n">
        <x:f>VLOOKUP($B$8&amp;"|"&amp;E15,Configuracoes!$A$4:$D$21,4,FALSE)</x:f>
        <x:v>0.25</x:v>
      </x:c>
      <x:c r="G15" s="76" t="n">
        <x:f>aporte*F15</x:f>
        <x:v>250</x:v>
      </x:c>
      <x:c r="H15" s="73"/>
    </x:row>
    <x:row r="16" ht="22" customHeight="1">
      <x:c r="A16" s="74" t="n">
        <x:v>5</x:v>
      </x:c>
      <x:c r="B16" s="75" t="n">
        <x:f>FV(taxa_mensal,$A16*12,-aporte,0,0)</x:f>
        <x:v>76623.86683187977</x:v>
      </x:c>
      <x:c r="C16" s="76" t="n">
        <x:f>B16*taxa_mensal</x:f>
        <x:v>612.9909346550381</x:v>
      </x:c>
      <x:c r="D16" s="73"/>
      <x:c r="E16" s="25" t="str">
        <x:v>Logística</x:v>
      </x:c>
      <x:c r="F16" s="77" t="n">
        <x:f>VLOOKUP($B$8&amp;"|"&amp;E16,Configuracoes!$A$4:$D$21,4,FALSE)</x:f>
        <x:v>0.2</x:v>
      </x:c>
      <x:c r="G16" s="76" t="n">
        <x:f>aporte*F16</x:f>
        <x:v>200</x:v>
      </x:c>
      <x:c r="H16" s="73"/>
    </x:row>
    <x:row r="17" ht="22" customHeight="1">
      <x:c r="A17" s="74" t="n">
        <x:v>10</x:v>
      </x:c>
      <x:c r="B17" s="75" t="n">
        <x:f>FV(taxa_mensal,$A17*12,-aporte,0,0)</x:f>
        <x:v>200217.4694099167</x:v>
      </x:c>
      <x:c r="C17" s="76" t="n">
        <x:f>B17*taxa_mensal</x:f>
        <x:v>1601.7397552793336</x:v>
      </x:c>
      <x:c r="D17" s="73"/>
      <x:c r="E17" s="25" t="str">
        <x:v>Lajes corporativas</x:v>
      </x:c>
      <x:c r="F17" s="77" t="n">
        <x:f>VLOOKUP($B$8&amp;"|"&amp;E17,Configuracoes!$A$4:$D$21,4,FALSE)</x:f>
        <x:v>0.15</x:v>
      </x:c>
      <x:c r="G17" s="76" t="n">
        <x:f>aporte*F17</x:f>
        <x:v>150</x:v>
      </x:c>
      <x:c r="H17" s="73"/>
    </x:row>
    <x:row r="18" ht="22" customHeight="1">
      <x:c r="A18" s="74" t="n">
        <x:v>20</x:v>
      </x:c>
      <x:c r="B18" s="75" t="n">
        <x:f>FV(taxa_mensal,$A18*12,-aporte,0,0)</x:f>
        <x:v>721131.2192751209</x:v>
      </x:c>
      <x:c r="C18" s="76" t="n">
        <x:f>B18*taxa_mensal</x:f>
        <x:v>5769.049754200967</x:v>
      </x:c>
      <x:c r="D18" s="73"/>
      <x:c r="E18" s="25" t="str">
        <x:v>Shoppings</x:v>
      </x:c>
      <x:c r="F18" s="77" t="n">
        <x:f>VLOOKUP($B$8&amp;"|"&amp;E18,Configuracoes!$A$4:$D$21,4,FALSE)</x:f>
        <x:v>0.15</x:v>
      </x:c>
      <x:c r="G18" s="76" t="n">
        <x:f>aporte*F18</x:f>
        <x:v>150</x:v>
      </x:c>
      <x:c r="H18" s="73"/>
    </x:row>
    <x:row r="19" ht="22" customHeight="1">
      <x:c r="A19" s="78" t="n">
        <x:v>30</x:v>
      </x:c>
      <x:c r="B19" s="79" t="n">
        <x:f>FV(taxa_mensal,$A19*12,-aporte,0,0)</x:f>
        <x:v>2076413.231371057</x:v>
      </x:c>
      <x:c r="C19" s="80" t="n">
        <x:f>B19*taxa_mensal</x:f>
        <x:v>16611.305850968456</x:v>
      </x:c>
      <x:c r="D19" s="73"/>
      <x:c r="E19" s="25" t="str">
        <x:v>Fundos de fundos</x:v>
      </x:c>
      <x:c r="F19" s="77" t="n">
        <x:f>VLOOKUP($B$8&amp;"|"&amp;E19,Configuracoes!$A$4:$D$21,4,FALSE)</x:f>
        <x:v>0.15</x:v>
      </x:c>
      <x:c r="G19" s="76" t="n">
        <x:f>aporte*F19</x:f>
        <x:v>150</x:v>
      </x:c>
      <x:c r="H19" s="73"/>
    </x:row>
    <x:row r="20" ht="22" customHeight="1">
      <x:c r="A20" s="73"/>
      <x:c r="B20" s="73"/>
      <x:c r="C20" s="73"/>
      <x:c r="D20" s="73"/>
      <x:c r="E20" s="30" t="str">
        <x:v>Desenvolvimento</x:v>
      </x:c>
      <x:c r="F20" s="81" t="n">
        <x:f>VLOOKUP($B$8&amp;"|"&amp;E20,Configuracoes!$A$4:$D$21,4,FALSE)</x:f>
        <x:v>0.1</x:v>
      </x:c>
      <x:c r="G20" s="80" t="n">
        <x:f>aporte*F20</x:f>
        <x:v>100</x:v>
      </x:c>
      <x:c r="H20" s="73"/>
    </x:row>
    <x:row r="21">
      <x:c r="A21" s="73"/>
      <x:c r="B21" s="73"/>
      <x:c r="C21" s="73"/>
      <x:c r="D21" s="73"/>
      <x:c r="E21" s="66" t="str">
        <x:v>Total da divisão</x:v>
      </x:c>
      <x:c r="F21" s="67"/>
      <x:c r="G21" s="68" t="n">
        <x:f>SUM(G15:G20)</x:f>
        <x:v>1000</x:v>
      </x:c>
      <x:c r="H21" s="73"/>
    </x:row>
    <x:row r="22">
      <x:c r="A22" s="71" t="str">
        <x:v>Premissas: aportes no fim de cada mês; taxa mensal constante; sem impostos, taxas, vacância ou variação no preço/cota. Dividendos são estimativas matemáticas, não garantia de renda. As alocações são exemplos didáticos, não recomendação de investimento.</x:v>
      </x:c>
      <x:c r="B22" s="71"/>
      <x:c r="C22" s="71"/>
      <x:c r="D22" s="71"/>
      <x:c r="E22" s="71"/>
      <x:c r="F22" s="71"/>
      <x:c r="G22" s="71"/>
      <x:c r="H22" s="71"/>
    </x:row>
    <x:row r="23">
      <x:c r="A23" s="71"/>
      <x:c r="B23" s="71"/>
      <x:c r="C23" s="71"/>
      <x:c r="D23" s="71"/>
      <x:c r="E23" s="71"/>
      <x:c r="F23" s="71"/>
      <x:c r="G23" s="71"/>
      <x:c r="H23" s="71"/>
    </x:row>
  </x:sheetData>
  <x:mergeCells>
    <x:mergeCell ref="A1:H1"/>
    <x:mergeCell ref="A2:H2"/>
    <x:mergeCell ref="A4:B4"/>
    <x:mergeCell ref="D4:F4"/>
    <x:mergeCell ref="D10:F10"/>
    <x:mergeCell ref="A13:C13"/>
    <x:mergeCell ref="E13:G13"/>
    <x:mergeCell ref="E21:F21"/>
    <x:mergeCell ref="A22:H23"/>
  </x:mergeCells>
  <x:dataValidations count="1">
    <x:dataValidation type="list" sqref="B8">
      <x:formula1>Configuracoes!$G$4:$G$6</x:formula1>
    </x:dataValidation>
  </x:dataValidations>
  <x:pageMargins left="0.7" right="0.7" top="0.75" bottom="0.75" header="0.3" footer="0.3"/>
  <x:drawing xmlns:r="http://schemas.openxmlformats.org/officeDocument/2006/relationships" r:id="R6c5e82c939664a5c"/>
</x:worksheet>
</file>

<file path=xl/worksheets/sheet2.xml><?xml version="1.0" encoding="utf-8"?>
<x:worksheet xmlns:x="http://schemas.openxmlformats.org/spreadsheetml/2006/main">
  <x:sheetPr>
    <x:tabColor rgb="FF4976A8"/>
  </x:sheetPr>
  <x:sheetViews>
    <x:sheetView showGridLines="0" workbookViewId="0"/>
  </x:sheetViews>
  <x:sheetFormatPr defaultRowHeight="15"/>
  <x:cols>
    <x:col min="1" max="1" width="37" hidden="0" customWidth="1"/>
    <x:col min="2" max="2" width="17" hidden="0" customWidth="1"/>
    <x:col min="3" max="3" width="25" hidden="0" customWidth="1"/>
    <x:col min="4" max="4" width="16" hidden="0" customWidth="1"/>
    <x:col min="5" max="5" width="17" hidden="0" customWidth="1"/>
    <x:col min="6" max="6" width="4" hidden="0" customWidth="1"/>
    <x:col min="7" max="7" width="23" hidden="0" customWidth="1"/>
  </x:cols>
  <x:sheetData>
    <x:row r="1">
      <x:c r="A1" s="83" t="str">
        <x:v>CONFIGURAÇÕES DE PERFIS E ALOCAÇÕES</x:v>
      </x:c>
      <x:c r="B1" s="83"/>
      <x:c r="C1" s="83"/>
      <x:c r="D1" s="83"/>
      <x:c r="E1" s="83"/>
      <x:c r="F1" s="83"/>
      <x:c r="G1" s="73"/>
    </x:row>
    <x:row r="2">
      <x:c r="A2" s="5" t="str">
        <x:v>Percentuais didáticos definidos para este simulador. Cada perfil totaliza 100%.</x:v>
      </x:c>
      <x:c r="B2" s="5"/>
      <x:c r="C2" s="5"/>
      <x:c r="D2" s="5"/>
      <x:c r="E2" s="5"/>
      <x:c r="F2" s="5"/>
      <x:c r="G2" s="73"/>
    </x:row>
    <x:row r="3">
      <x:c r="A3" s="99" t="str">
        <x:v>Chave composta</x:v>
      </x:c>
      <x:c r="B3" s="100" t="str">
        <x:v>Perfil</x:v>
      </x:c>
      <x:c r="C3" s="100" t="str">
        <x:v>Tipo de fundo</x:v>
      </x:c>
      <x:c r="D3" s="100" t="str">
        <x:v>Percentual</x:v>
      </x:c>
      <x:c r="E3" s="101" t="str">
        <x:v>Total do perfil</x:v>
      </x:c>
      <x:c r="F3" s="73"/>
      <x:c r="G3" s="109" t="str">
        <x:v>Perfis disponíveis</x:v>
      </x:c>
    </x:row>
    <x:row r="4">
      <x:c r="A4" s="102" t="str">
        <x:f>B4&amp;"|"&amp;C4</x:f>
        <x:v>Prudente|Recebíveis (papel)</x:v>
      </x:c>
      <x:c r="B4" s="10" t="str">
        <x:v>Prudente</x:v>
      </x:c>
      <x:c r="C4" s="10" t="str">
        <x:v>Recebíveis (papel)</x:v>
      </x:c>
      <x:c r="D4" s="95" t="n">
        <x:v>0.35</x:v>
      </x:c>
      <x:c r="E4" s="103" t="n">
        <x:f>SUM(D4:D9)</x:f>
        <x:v>1</x:v>
      </x:c>
      <x:c r="F4" s="73"/>
      <x:c r="G4" s="110" t="str">
        <x:v>Prudente</x:v>
      </x:c>
    </x:row>
    <x:row r="5">
      <x:c r="A5" s="102" t="str">
        <x:f>B5&amp;"|"&amp;C5</x:f>
        <x:v>Prudente|Logística</x:v>
      </x:c>
      <x:c r="B5" s="10" t="str">
        <x:v>Prudente</x:v>
      </x:c>
      <x:c r="C5" s="10" t="str">
        <x:v>Logística</x:v>
      </x:c>
      <x:c r="D5" s="95" t="n">
        <x:v>0.2</x:v>
      </x:c>
      <x:c r="E5" s="103"/>
      <x:c r="F5" s="73"/>
      <x:c r="G5" s="110" t="str">
        <x:v>Moderado</x:v>
      </x:c>
    </x:row>
    <x:row r="6">
      <x:c r="A6" s="102" t="str">
        <x:f>B6&amp;"|"&amp;C6</x:f>
        <x:v>Prudente|Lajes corporativas</x:v>
      </x:c>
      <x:c r="B6" s="10" t="str">
        <x:v>Prudente</x:v>
      </x:c>
      <x:c r="C6" s="10" t="str">
        <x:v>Lajes corporativas</x:v>
      </x:c>
      <x:c r="D6" s="95" t="n">
        <x:v>0.1</x:v>
      </x:c>
      <x:c r="E6" s="103"/>
      <x:c r="F6" s="73"/>
      <x:c r="G6" s="110" t="str">
        <x:v>Arrojado</x:v>
      </x:c>
    </x:row>
    <x:row r="7">
      <x:c r="A7" s="102" t="str">
        <x:f>B7&amp;"|"&amp;C7</x:f>
        <x:v>Prudente|Shoppings</x:v>
      </x:c>
      <x:c r="B7" s="10" t="str">
        <x:v>Prudente</x:v>
      </x:c>
      <x:c r="C7" s="10" t="str">
        <x:v>Shoppings</x:v>
      </x:c>
      <x:c r="D7" s="95" t="n">
        <x:v>0.1</x:v>
      </x:c>
      <x:c r="E7" s="103"/>
      <x:c r="F7" s="73"/>
      <x:c r="G7" s="73"/>
    </x:row>
    <x:row r="8">
      <x:c r="A8" s="102" t="str">
        <x:f>B8&amp;"|"&amp;C8</x:f>
        <x:v>Prudente|Fundos de fundos</x:v>
      </x:c>
      <x:c r="B8" s="10" t="str">
        <x:v>Prudente</x:v>
      </x:c>
      <x:c r="C8" s="10" t="str">
        <x:v>Fundos de fundos</x:v>
      </x:c>
      <x:c r="D8" s="95" t="n">
        <x:v>0.15</x:v>
      </x:c>
      <x:c r="E8" s="103"/>
      <x:c r="F8" s="73"/>
      <x:c r="G8" s="73"/>
    </x:row>
    <x:row r="9">
      <x:c r="A9" s="102" t="str">
        <x:f>B9&amp;"|"&amp;C9</x:f>
        <x:v>Prudente|Desenvolvimento</x:v>
      </x:c>
      <x:c r="B9" s="10" t="str">
        <x:v>Prudente</x:v>
      </x:c>
      <x:c r="C9" s="10" t="str">
        <x:v>Desenvolvimento</x:v>
      </x:c>
      <x:c r="D9" s="95" t="n">
        <x:v>0.1</x:v>
      </x:c>
      <x:c r="E9" s="103"/>
      <x:c r="F9" s="73"/>
      <x:c r="G9" s="73"/>
    </x:row>
    <x:row r="10">
      <x:c r="A10" s="102" t="str">
        <x:f>B10&amp;"|"&amp;C10</x:f>
        <x:v>Moderado|Recebíveis (papel)</x:v>
      </x:c>
      <x:c r="B10" s="10" t="str">
        <x:v>Moderado</x:v>
      </x:c>
      <x:c r="C10" s="10" t="str">
        <x:v>Recebíveis (papel)</x:v>
      </x:c>
      <x:c r="D10" s="95" t="n">
        <x:v>0.25</x:v>
      </x:c>
      <x:c r="E10" s="103" t="n">
        <x:f>SUM(D10:D15)</x:f>
        <x:v>1</x:v>
      </x:c>
      <x:c r="F10" s="73"/>
      <x:c r="G10" s="73"/>
    </x:row>
    <x:row r="11">
      <x:c r="A11" s="102" t="str">
        <x:f>B11&amp;"|"&amp;C11</x:f>
        <x:v>Moderado|Logística</x:v>
      </x:c>
      <x:c r="B11" s="10" t="str">
        <x:v>Moderado</x:v>
      </x:c>
      <x:c r="C11" s="10" t="str">
        <x:v>Logística</x:v>
      </x:c>
      <x:c r="D11" s="95" t="n">
        <x:v>0.2</x:v>
      </x:c>
      <x:c r="E11" s="103"/>
      <x:c r="F11" s="73"/>
      <x:c r="G11" s="73"/>
    </x:row>
    <x:row r="12">
      <x:c r="A12" s="102" t="str">
        <x:f>B12&amp;"|"&amp;C12</x:f>
        <x:v>Moderado|Lajes corporativas</x:v>
      </x:c>
      <x:c r="B12" s="10" t="str">
        <x:v>Moderado</x:v>
      </x:c>
      <x:c r="C12" s="10" t="str">
        <x:v>Lajes corporativas</x:v>
      </x:c>
      <x:c r="D12" s="95" t="n">
        <x:v>0.15</x:v>
      </x:c>
      <x:c r="E12" s="103"/>
      <x:c r="F12" s="73"/>
      <x:c r="G12" s="73"/>
    </x:row>
    <x:row r="13">
      <x:c r="A13" s="102" t="str">
        <x:f>B13&amp;"|"&amp;C13</x:f>
        <x:v>Moderado|Shoppings</x:v>
      </x:c>
      <x:c r="B13" s="10" t="str">
        <x:v>Moderado</x:v>
      </x:c>
      <x:c r="C13" s="10" t="str">
        <x:v>Shoppings</x:v>
      </x:c>
      <x:c r="D13" s="95" t="n">
        <x:v>0.15</x:v>
      </x:c>
      <x:c r="E13" s="103"/>
      <x:c r="F13" s="73"/>
      <x:c r="G13" s="73"/>
    </x:row>
    <x:row r="14">
      <x:c r="A14" s="102" t="str">
        <x:f>B14&amp;"|"&amp;C14</x:f>
        <x:v>Moderado|Fundos de fundos</x:v>
      </x:c>
      <x:c r="B14" s="10" t="str">
        <x:v>Moderado</x:v>
      </x:c>
      <x:c r="C14" s="10" t="str">
        <x:v>Fundos de fundos</x:v>
      </x:c>
      <x:c r="D14" s="95" t="n">
        <x:v>0.15</x:v>
      </x:c>
      <x:c r="E14" s="103"/>
      <x:c r="F14" s="73"/>
      <x:c r="G14" s="73"/>
    </x:row>
    <x:row r="15">
      <x:c r="A15" s="102" t="str">
        <x:f>B15&amp;"|"&amp;C15</x:f>
        <x:v>Moderado|Desenvolvimento</x:v>
      </x:c>
      <x:c r="B15" s="10" t="str">
        <x:v>Moderado</x:v>
      </x:c>
      <x:c r="C15" s="10" t="str">
        <x:v>Desenvolvimento</x:v>
      </x:c>
      <x:c r="D15" s="95" t="n">
        <x:v>0.1</x:v>
      </x:c>
      <x:c r="E15" s="103"/>
      <x:c r="F15" s="73"/>
      <x:c r="G15" s="73"/>
    </x:row>
    <x:row r="16">
      <x:c r="A16" s="102" t="str">
        <x:f>B16&amp;"|"&amp;C16</x:f>
        <x:v>Arrojado|Recebíveis (papel)</x:v>
      </x:c>
      <x:c r="B16" s="10" t="str">
        <x:v>Arrojado</x:v>
      </x:c>
      <x:c r="C16" s="10" t="str">
        <x:v>Recebíveis (papel)</x:v>
      </x:c>
      <x:c r="D16" s="95" t="n">
        <x:v>0.15</x:v>
      </x:c>
      <x:c r="E16" s="103" t="n">
        <x:f>SUM(D16:D21)</x:f>
        <x:v>1</x:v>
      </x:c>
      <x:c r="F16" s="73"/>
      <x:c r="G16" s="73"/>
    </x:row>
    <x:row r="17">
      <x:c r="A17" s="102" t="str">
        <x:f>B17&amp;"|"&amp;C17</x:f>
        <x:v>Arrojado|Logística</x:v>
      </x:c>
      <x:c r="B17" s="10" t="str">
        <x:v>Arrojado</x:v>
      </x:c>
      <x:c r="C17" s="10" t="str">
        <x:v>Logística</x:v>
      </x:c>
      <x:c r="D17" s="95" t="n">
        <x:v>0.2</x:v>
      </x:c>
      <x:c r="E17" s="103"/>
      <x:c r="F17" s="73"/>
      <x:c r="G17" s="73"/>
    </x:row>
    <x:row r="18">
      <x:c r="A18" s="102" t="str">
        <x:f>B18&amp;"|"&amp;C18</x:f>
        <x:v>Arrojado|Lajes corporativas</x:v>
      </x:c>
      <x:c r="B18" s="10" t="str">
        <x:v>Arrojado</x:v>
      </x:c>
      <x:c r="C18" s="10" t="str">
        <x:v>Lajes corporativas</x:v>
      </x:c>
      <x:c r="D18" s="95" t="n">
        <x:v>0.15</x:v>
      </x:c>
      <x:c r="E18" s="103"/>
      <x:c r="F18" s="73"/>
      <x:c r="G18" s="73"/>
    </x:row>
    <x:row r="19">
      <x:c r="A19" s="102" t="str">
        <x:f>B19&amp;"|"&amp;C19</x:f>
        <x:v>Arrojado|Shoppings</x:v>
      </x:c>
      <x:c r="B19" s="10" t="str">
        <x:v>Arrojado</x:v>
      </x:c>
      <x:c r="C19" s="10" t="str">
        <x:v>Shoppings</x:v>
      </x:c>
      <x:c r="D19" s="95" t="n">
        <x:v>0.2</x:v>
      </x:c>
      <x:c r="E19" s="103"/>
      <x:c r="F19" s="73"/>
      <x:c r="G19" s="73"/>
    </x:row>
    <x:row r="20">
      <x:c r="A20" s="102" t="str">
        <x:f>B20&amp;"|"&amp;C20</x:f>
        <x:v>Arrojado|Fundos de fundos</x:v>
      </x:c>
      <x:c r="B20" s="10" t="str">
        <x:v>Arrojado</x:v>
      </x:c>
      <x:c r="C20" s="10" t="str">
        <x:v>Fundos de fundos</x:v>
      </x:c>
      <x:c r="D20" s="95" t="n">
        <x:v>0.15</x:v>
      </x:c>
      <x:c r="E20" s="103"/>
      <x:c r="F20" s="73"/>
      <x:c r="G20" s="73"/>
    </x:row>
    <x:row r="21">
      <x:c r="A21" s="104" t="str">
        <x:f>B21&amp;"|"&amp;C21</x:f>
        <x:v>Arrojado|Desenvolvimento</x:v>
      </x:c>
      <x:c r="B21" s="105" t="str">
        <x:v>Arrojado</x:v>
      </x:c>
      <x:c r="C21" s="105" t="str">
        <x:v>Desenvolvimento</x:v>
      </x:c>
      <x:c r="D21" s="106" t="n">
        <x:v>0.15</x:v>
      </x:c>
      <x:c r="E21" s="107"/>
      <x:c r="F21" s="73"/>
      <x:c r="G21" s="73"/>
    </x:row>
    <x:row r="22">
      <x:c r="A22" s="73"/>
      <x:c r="B22" s="73"/>
      <x:c r="C22" s="73"/>
      <x:c r="D22" s="73"/>
      <x:c r="E22" s="73"/>
      <x:c r="F22" s="73"/>
      <x:c r="G22" s="73"/>
    </x:row>
    <x:row r="23">
      <x:c r="A23" s="71" t="str">
        <x:v>Os percentuais foram criados como exemplos deste projeto para demonstrar PROCV com chave composta. Revise-os conforme seu objetivo e valide se cada total continua em 100%.</x:v>
      </x:c>
      <x:c r="B23" s="71"/>
      <x:c r="C23" s="71"/>
      <x:c r="D23" s="71"/>
      <x:c r="E23" s="71"/>
      <x:c r="F23" s="71"/>
      <x:c r="G23" s="71"/>
    </x:row>
    <x:row r="24">
      <x:c r="A24" s="71"/>
      <x:c r="B24" s="71"/>
      <x:c r="C24" s="71"/>
      <x:c r="D24" s="71"/>
      <x:c r="E24" s="71"/>
      <x:c r="F24" s="71"/>
      <x:c r="G24" s="71"/>
    </x:row>
  </x:sheetData>
  <x:mergeCells>
    <x:mergeCell ref="A1:F1"/>
    <x:mergeCell ref="A2:F2"/>
    <x:mergeCell ref="E4:E9"/>
    <x:mergeCell ref="E10:E15"/>
    <x:mergeCell ref="E16:E21"/>
    <x:mergeCell ref="A23:G24"/>
  </x:mergeCells>
  <x:pageMargins left="0.7" right="0.7" top="0.75" bottom="0.75" header="0.3" footer="0.3"/>
</x:worksheet>
</file>